
<file path=[Content_Types].xml><?xml version="1.0" encoding="utf-8"?>
<Types xmlns="http://schemas.openxmlformats.org/package/2006/content-types">
  <Default ContentType="application/vnd.openxmlformats-officedocument.vmlDrawing" Extension="vml"/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5.xml"/>
  <Override ContentType="application/vnd.openxmlformats-officedocument.spreadsheetml.table+xml" PartName="/xl/tables/table4.xml"/>
  <Override ContentType="application/vnd.openxmlformats-officedocument.spreadsheetml.table+xml" PartName="/xl/tables/table3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table+xml" PartName="/xl/tables/table6.xml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0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vnd.openxmlformats-officedocument.spreadsheetml.worksheet+xml" PartName="/xl/worksheets/sheet9.xml"/>
  <Override ContentType="application/vnd.openxmlformats-officedocument.spreadsheetml.worksheet+xml" PartName="/xl/worksheets/sheet8.xml"/>
  <Override ContentType="application/vnd.openxmlformats-officedocument.spreadsheetml.worksheet+xml" PartName="/xl/worksheets/sheet7.xml"/>
  <Override ContentType="application/binary" PartName="/xl/metadata"/>
  <Override ContentType="application/binary" PartName="/xl/commentsmeta0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10.xml"/>
  <Override ContentType="application/vnd.openxmlformats-officedocument.drawing+xml" PartName="/xl/drawings/drawing9.xml"/>
  <Override ContentType="application/vnd.openxmlformats-officedocument.drawing+xml" PartName="/xl/drawings/drawing8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spreadsheetml.comments+xml" PartName="/xl/comments1.xml"/>
  <Override ContentType="application/vnd.openxmlformats-officedocument.drawingml.chart+xml" PartName="/xl/charts/chart1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Overview" sheetId="1" r:id="rId4"/>
    <sheet state="visible" name="Execution_Summary" sheetId="2" r:id="rId5"/>
    <sheet state="visible" name="Wallet_Deposit" sheetId="3" r:id="rId6"/>
    <sheet state="visible" name="Wallet_Withdrawal" sheetId="4" r:id="rId7"/>
    <sheet state="visible" name="Spot_Trading" sheetId="5" r:id="rId8"/>
    <sheet state="visible" name="Order_Management" sheetId="6" r:id="rId9"/>
    <sheet state="visible" name="Security_Auth" sheetId="7" r:id="rId10"/>
    <sheet state="visible" name="API_Trading" sheetId="8" r:id="rId11"/>
    <sheet state="visible" name="Defect_Log" sheetId="9" r:id="rId12"/>
    <sheet state="visible" name="Lists" sheetId="10" r:id="rId13"/>
  </sheets>
  <definedNames/>
  <calcPr/>
  <extLst>
    <ext uri="GoogleSheetsCustomDataVersion2">
      <go:sheetsCustomData xmlns:go="http://customooxmlschemas.google.com/" r:id="rId14" roundtripDataChecksum="YZ9TgWcmveBeaB+N8yJZEfTOTXBh1dhpT9NXe52kMBg="/>
    </ext>
  </extLst>
</workbook>
</file>

<file path=xl/comments1.xml><?xml version="1.0" encoding="utf-8"?>
<comments xmlns:r="http://schemas.openxmlformats.org/officeDocument/2006/relationships" xmlns="http://schemas.openxmlformats.org/spreadsheetml/2006/main" xmlns:xr="http://schemas.microsoft.com/office/spreadsheetml/2014/revision">
  <authors>
    <author/>
  </authors>
  <commentList>
    <comment authorId="0" ref="B8">
      <text>
        <t xml:space="preserve">======
ID#AAAB2SCIoOw
OpenAI    (2026-03-25 07:58:58)
Execution columns: I = workflow state, K = final result. Summary formulas are in D4:H6.</t>
      </text>
    </comment>
  </commentList>
  <extLst>
    <ext uri="GoogleSheetsCustomDataVersion2">
      <go:sheetsCustomData xmlns:go="http://customooxmlschemas.google.com/" r:id="rId1" roundtripDataSignature="AMtx7mhzFMrQOu0OFZiHlMnEQvoc+CdDLQ=="/>
    </ext>
  </extLst>
</comments>
</file>

<file path=xl/sharedStrings.xml><?xml version="1.0" encoding="utf-8"?>
<sst xmlns="http://schemas.openxmlformats.org/spreadsheetml/2006/main" count="1117" uniqueCount="383">
  <si>
    <t>Crypto Exchange QA Portfolio – Bybit-Style Manual Test Suite</t>
  </si>
  <si>
    <t>Workbook includes module-level manual test cases, execution tracking, defect log template, and GitHub portfolio guide.</t>
  </si>
  <si>
    <t>Project</t>
  </si>
  <si>
    <t>Bybit-style Crypto QA Portfolio</t>
  </si>
  <si>
    <t>How to Use</t>
  </si>
  <si>
    <t>Version</t>
  </si>
  <si>
    <t>1.0</t>
  </si>
  <si>
    <t>1) Open each module sheet.</t>
  </si>
  <si>
    <t>Prepared For</t>
  </si>
  <si>
    <t>Senior QA / Crypto Exchange applications</t>
  </si>
  <si>
    <t>2) Execute tests and update Execution Status (col I) and Result (col K).</t>
  </si>
  <si>
    <t>Modules</t>
  </si>
  <si>
    <t>3) Track defects in Defect_Log.</t>
  </si>
  <si>
    <t>4) Review Execution Summary for live coverage metrics.</t>
  </si>
  <si>
    <t>Module Index</t>
  </si>
  <si>
    <t>Purpose</t>
  </si>
  <si>
    <t>Legend</t>
  </si>
  <si>
    <t>Wallet_Deposit</t>
  </si>
  <si>
    <t>Incoming funds validation, confirmations, duplicate TX protection, and deposit history accuracy.</t>
  </si>
  <si>
    <t>Pass</t>
  </si>
  <si>
    <t>Wallet_Withdrawal</t>
  </si>
  <si>
    <t>Balance checks, address/network validation, fees, limits, and secure cancellation.</t>
  </si>
  <si>
    <t>Fail</t>
  </si>
  <si>
    <t>Spot_Trading</t>
  </si>
  <si>
    <t>Market/limit order flows, partial fills, fees, precision, and trade history.</t>
  </si>
  <si>
    <t>Blocked</t>
  </si>
  <si>
    <t>Order_Management</t>
  </si>
  <si>
    <t>Cancel/amend/batch actions, idempotency, and cross-channel status consistency.</t>
  </si>
  <si>
    <t>Not Run</t>
  </si>
  <si>
    <t>Security_Auth</t>
  </si>
  <si>
    <t>Login, OTP, session handling, step-up verification, API key scopes, and withdrawal protection.</t>
  </si>
  <si>
    <t>In Progress</t>
  </si>
  <si>
    <t>API_Trading</t>
  </si>
  <si>
    <t>Public/private endpoint validation, signing, rate limiting, idempotency, and API/UI consistency.</t>
  </si>
  <si>
    <t>Execution Summary Dashboard</t>
  </si>
  <si>
    <t>Counts update automatically from each module sheet based on the Result column.</t>
  </si>
  <si>
    <t>Module</t>
  </si>
  <si>
    <t>Total</t>
  </si>
  <si>
    <t>Pass Rate</t>
  </si>
  <si>
    <t>Status Snapshot</t>
  </si>
  <si>
    <t>Overall</t>
  </si>
  <si>
    <t>Wallet Deposit – Manual Test Cases</t>
  </si>
  <si>
    <t>Structured execution template with pass/fail tracking and space for real execution evidence.</t>
  </si>
  <si>
    <t>Total Cases</t>
  </si>
  <si>
    <t>Cycle</t>
  </si>
  <si>
    <t>Cycle 1</t>
  </si>
  <si>
    <t>Owner</t>
  </si>
  <si>
    <t>QA Portfolio Template</t>
  </si>
  <si>
    <t>Execution Notes</t>
  </si>
  <si>
    <t>Set column I (Execution Status) and column K (Result) as you execute tests. Summary widgets update automatically.</t>
  </si>
  <si>
    <t>TC ID</t>
  </si>
  <si>
    <t>Scenario / Requirement</t>
  </si>
  <si>
    <t>Objective / Risk</t>
  </si>
  <si>
    <t>Priority</t>
  </si>
  <si>
    <t>Preconditions</t>
  </si>
  <si>
    <t>Test Data</t>
  </si>
  <si>
    <t>Test Steps</t>
  </si>
  <si>
    <t>Expected Result</t>
  </si>
  <si>
    <t>Execution Status</t>
  </si>
  <si>
    <t>Actual Result</t>
  </si>
  <si>
    <t>Result</t>
  </si>
  <si>
    <t>Defect ID</t>
  </si>
  <si>
    <t>Tester</t>
  </si>
  <si>
    <t>Execution Date</t>
  </si>
  <si>
    <t>Environment</t>
  </si>
  <si>
    <t>Notes</t>
  </si>
  <si>
    <t>WD-001</t>
  </si>
  <si>
    <t>Successful crypto deposit is credited after required confirmations</t>
  </si>
  <si>
    <t>High</t>
  </si>
  <si>
    <t>User account exists and deposit is enabled for BTC on the selected network.</t>
  </si>
  <si>
    <t>BTC / supported network / amount above minimum</t>
  </si>
  <si>
    <t>Generate BTC deposit address; send a supported amount from an external wallet; wait for required confirmations; refresh balances/history.</t>
  </si>
  <si>
    <t>Deposit remains Pending until confirmations are reached, then Available Balance increases exactly once; transaction appears in deposit history with correct asset, network, amount, TX hash, and timestamp.</t>
  </si>
  <si>
    <t/>
  </si>
  <si>
    <t>QA</t>
  </si>
  <si>
    <t>WD-002</t>
  </si>
  <si>
    <t>Deposit address generation matches selected asset and network</t>
  </si>
  <si>
    <t>User is logged in and can access the wallet deposit page.</t>
  </si>
  <si>
    <t>BTC/ERC20, BTC/BTC, ETH/ERC20</t>
  </si>
  <si>
    <t>Select asset and network; generate deposit address; switch to a different network; generate again; compare outputs.</t>
  </si>
  <si>
    <t>A unique address or supported address format is shown for each valid asset-network combination; address/memo details change correctly when network changes.</t>
  </si>
  <si>
    <t>WD-003</t>
  </si>
  <si>
    <t>Unsupported asset-network pair is blocked</t>
  </si>
  <si>
    <t>Medium</t>
  </si>
  <si>
    <t>Deposit page is available.</t>
  </si>
  <si>
    <t>Asset/network mismatch</t>
  </si>
  <si>
    <t>Choose an unsupported network for the asset or force an invalid pair via API/UI state.</t>
  </si>
  <si>
    <t>System prevents continuation and shows a clear validation message; no deposit address is created.</t>
  </si>
  <si>
    <t>WD-004</t>
  </si>
  <si>
    <t>Deposit requiring memo/tag cannot proceed without memo/tag details</t>
  </si>
  <si>
    <t>Asset supports destination tag or memo (e.g., XRP, XLM).</t>
  </si>
  <si>
    <t>XRP or XLM</t>
  </si>
  <si>
    <t>Select asset requiring memo/tag; copy address only; review warnings and instructions.</t>
  </si>
  <si>
    <t>System prominently displays memo/tag requirement and warning that funds may be lost if omitted; generated details include both address and memo/tag.</t>
  </si>
  <si>
    <t>WD-005</t>
  </si>
  <si>
    <t>Deposit remains pending when confirmations are not yet complete</t>
  </si>
  <si>
    <t>A blockchain transaction is detected but below confirmation threshold.</t>
  </si>
  <si>
    <t>On-chain TX below threshold</t>
  </si>
  <si>
    <t>Initiate deposit; inspect status before final confirmation count is reached.</t>
  </si>
  <si>
    <t>Transaction is visible with Pending/Confirming status; Available Balance is not increased prematurely.</t>
  </si>
  <si>
    <t>WD-006</t>
  </si>
  <si>
    <t>Duplicate transaction hash does not result in duplicate credit</t>
  </si>
  <si>
    <t>Critical</t>
  </si>
  <si>
    <t>A valid deposit has already been credited.</t>
  </si>
  <si>
    <t>Same TX hash replay</t>
  </si>
  <si>
    <t>Replay the same deposit notification or simulate duplicate blockchain callback with identical TX hash.</t>
  </si>
  <si>
    <t>System identifies duplicate TX hash and prevents double-crediting; only one completed ledger entry exists.</t>
  </si>
  <si>
    <t>WD-007</t>
  </si>
  <si>
    <t>Deposit below minimum threshold is handled per product rules</t>
  </si>
  <si>
    <t>Minimum deposit amount is configured.</t>
  </si>
  <si>
    <t>Amount below configured minimum</t>
  </si>
  <si>
    <t>Send an amount below minimum threshold; inspect wallet balance, history, and messaging.</t>
  </si>
  <si>
    <t>System follows configured behavior: either reject/flag the deposit or credit as pending/manual review with a clear message; no silent loss of funds.</t>
  </si>
  <si>
    <t>WD-008</t>
  </si>
  <si>
    <t>Deposit history displays accurate transaction details</t>
  </si>
  <si>
    <t>At least one deposit exists.</t>
  </si>
  <si>
    <t>Multiple completed/pending deposits</t>
  </si>
  <si>
    <t>Open deposit history; search/filter by asset/date/status; open transaction details.</t>
  </si>
  <si>
    <t>History shows correct asset, network, amount, status, wallet/address, TX hash, timestamps, and explorer link where applicable.</t>
  </si>
  <si>
    <t>Wallet Withdrawal – Manual Test Cases</t>
  </si>
  <si>
    <t>WW-001</t>
  </si>
  <si>
    <t>Successful withdrawal with valid address and 2FA verification</t>
  </si>
  <si>
    <t>User has sufficient balance, withdrawals enabled, and 2FA configured.</t>
  </si>
  <si>
    <t>Supported asset, valid address, amount above minimum</t>
  </si>
  <si>
    <t>Initiate withdrawal; enter whitelisted valid address and amount; complete security verification; confirm request.</t>
  </si>
  <si>
    <t>Withdrawal request is accepted; available balance and fees are deducted correctly; request appears in history with Submitted/Processing status.</t>
  </si>
  <si>
    <t>WW-002</t>
  </si>
  <si>
    <t>Withdrawal fails when amount exceeds available balance</t>
  </si>
  <si>
    <t>User balance is lower than requested amount plus fee.</t>
  </si>
  <si>
    <t>Amount &gt; available balance</t>
  </si>
  <si>
    <t>Enter amount greater than available balance and attempt submission.</t>
  </si>
  <si>
    <t>Submission is blocked with clear insufficient balance message; no withdrawal request is created.</t>
  </si>
  <si>
    <t>WW-003</t>
  </si>
  <si>
    <t>Invalid destination address format is rejected</t>
  </si>
  <si>
    <t>Withdrawal form is open.</t>
  </si>
  <si>
    <t>Malformed address string</t>
  </si>
  <si>
    <t>Enter malformed or unsupported address and attempt to continue.</t>
  </si>
  <si>
    <t>System rejects invalid address format before submission and explains the validation error.</t>
  </si>
  <si>
    <t>WW-004</t>
  </si>
  <si>
    <t>Withdrawal using the wrong network is prevented or clearly warned</t>
  </si>
  <si>
    <t>Asset supports multiple networks.</t>
  </si>
  <si>
    <t>Select a destination network incompatible with the entered address or asset; attempt submission.</t>
  </si>
  <si>
    <t>System blocks submission or shows explicit high-risk warning; no ambiguous confirmation path is allowed.</t>
  </si>
  <si>
    <t>WW-005</t>
  </si>
  <si>
    <t>Displayed network fee and net amount are calculated correctly</t>
  </si>
  <si>
    <t>Withdrawal page displays dynamic fee data.</t>
  </si>
  <si>
    <t>Multiple amounts and networks</t>
  </si>
  <si>
    <t>Enter valid withdrawal amount; compare displayed fee, gross amount, and net received amount.</t>
  </si>
  <si>
    <t>Fee calculation is accurate and updates immediately when amount or network changes.</t>
  </si>
  <si>
    <t>WW-006</t>
  </si>
  <si>
    <t>Daily withdrawal limit is enforced</t>
  </si>
  <si>
    <t>User has already consumed all or most of the daily limit.</t>
  </si>
  <si>
    <t>Amount causing limit breach</t>
  </si>
  <si>
    <t>Attempt withdrawal that would exceed user/account daily limit.</t>
  </si>
  <si>
    <t>System blocks or queues the request according to policy and shows the remaining limit and reset time clearly.</t>
  </si>
  <si>
    <t>WW-007</t>
  </si>
  <si>
    <t>Address whitelist enforcement works as configured</t>
  </si>
  <si>
    <t>Address whitelist feature is enabled.</t>
  </si>
  <si>
    <t>Whitelisted and non-whitelisted addresses</t>
  </si>
  <si>
    <t>Try to withdraw to a non-whitelisted address; then to a whitelisted address.</t>
  </si>
  <si>
    <t>Non-whitelisted address is blocked; whitelisted address is allowed after security verification.</t>
  </si>
  <si>
    <t>WW-008</t>
  </si>
  <si>
    <t>User can cancel withdrawal before blockchain broadcast</t>
  </si>
  <si>
    <t>Withdrawal is created but not yet broadcast/processed irreversibly.</t>
  </si>
  <si>
    <t>Newly submitted withdrawal</t>
  </si>
  <si>
    <t>Create withdrawal; use cancel action immediately; check balances and history.</t>
  </si>
  <si>
    <t>Withdrawal is canceled successfully when still cancelable; reserved funds are restored; history reflects Canceled state.</t>
  </si>
  <si>
    <t>Spot Trading – Manual Test Cases</t>
  </si>
  <si>
    <t>ST-001</t>
  </si>
  <si>
    <t>Market buy order executes at best available price</t>
  </si>
  <si>
    <t>Market is open and order book has sufficient liquidity.</t>
  </si>
  <si>
    <t>BTC/USDT market buy</t>
  </si>
  <si>
    <t>Open spot trading page; submit market buy order; review fills and balances.</t>
  </si>
  <si>
    <t>Order executes immediately against available liquidity; filled quantity, average price, fee, and balance changes are accurate.</t>
  </si>
  <si>
    <t>ST-002</t>
  </si>
  <si>
    <t>Limit buy order below market remains open until matched or canceled</t>
  </si>
  <si>
    <t>Market price is above entered limit price.</t>
  </si>
  <si>
    <t>BTC/USDT limit buy below market</t>
  </si>
  <si>
    <t>Submit a limit buy below current best ask; monitor order status.</t>
  </si>
  <si>
    <t>Order enters Open state, reserves required funds, and remains unfilled until matching conditions occur or user cancels it.</t>
  </si>
  <si>
    <t>ST-003</t>
  </si>
  <si>
    <t>Partial fill updates order status and balances correctly</t>
  </si>
  <si>
    <t>Order size exceeds immediately available liquidity at target price.</t>
  </si>
  <si>
    <t>Large limit order</t>
  </si>
  <si>
    <t>Place order likely to receive partial fills; inspect open order and trade history.</t>
  </si>
  <si>
    <t>System records each fill accurately; order status becomes Partially Filled; remaining quantity stays open; balances reflect executed portion and reserved remainder.</t>
  </si>
  <si>
    <t>ST-004</t>
  </si>
  <si>
    <t>Order is rejected when available balance is insufficient</t>
  </si>
  <si>
    <t>Account balance is below required funds including fees.</t>
  </si>
  <si>
    <t>Amount exceeding balance</t>
  </si>
  <si>
    <t>Submit market or limit order larger than available balance.</t>
  </si>
  <si>
    <t>System blocks submission with clear insufficient balance message; no order is placed.</t>
  </si>
  <si>
    <t>ST-005</t>
  </si>
  <si>
    <t>Price and quantity precision rules are enforced</t>
  </si>
  <si>
    <t>Exchange precision/tick size rules are configured.</t>
  </si>
  <si>
    <t>Invalid decimal precision</t>
  </si>
  <si>
    <t>Enter price or quantity with more decimals than allowed; submit order.</t>
  </si>
  <si>
    <t>System rounds or rejects according to configured rules; user sees precise validation feedback.</t>
  </si>
  <si>
    <t>ST-006</t>
  </si>
  <si>
    <t>Minimum order notional/quantity validation is enforced</t>
  </si>
  <si>
    <t>Trading pair has minimum order constraints.</t>
  </si>
  <si>
    <t>Amount below minimum</t>
  </si>
  <si>
    <t>Enter amount below minimum notional or quantity and attempt order submission.</t>
  </si>
  <si>
    <t>System blocks the order and explains the minimum trade requirement.</t>
  </si>
  <si>
    <t>ST-007</t>
  </si>
  <si>
    <t>Trade history and order history are updated after execution</t>
  </si>
  <si>
    <t>At least one trade executes successfully.</t>
  </si>
  <si>
    <t>Completed trade lifecycle</t>
  </si>
  <si>
    <t>Execute order; navigate to open orders, order history, and trade history.</t>
  </si>
  <si>
    <t>Executed or canceled orders move to correct history views with accurate fields: pair, side, order type, status, price, quantity, filled quantity, fee, and timestamps.</t>
  </si>
  <si>
    <t>ST-008</t>
  </si>
  <si>
    <t>Fees are charged according to taker/maker rules</t>
  </si>
  <si>
    <t>Fee schedule is configured and visible.</t>
  </si>
  <si>
    <t>Maker/taker trade scenarios</t>
  </si>
  <si>
    <t>Execute both maker and taker scenarios; compare charged fees against expected fee rate.</t>
  </si>
  <si>
    <t>Applied fee rate matches configuration; fee asset and total fee amount are accurate in balances and history.</t>
  </si>
  <si>
    <t>Order Management – Manual Test Cases</t>
  </si>
  <si>
    <t>OM-001</t>
  </si>
  <si>
    <t>User can cancel an open limit order</t>
  </si>
  <si>
    <t>An order is currently in Open state.</t>
  </si>
  <si>
    <t>Existing open limit order</t>
  </si>
  <si>
    <t>Open order management panel; choose an open limit order; click Cancel.</t>
  </si>
  <si>
    <t>Order status changes to Canceled; reserved balance is released; entry moves to order history with cancellation timestamp.</t>
  </si>
  <si>
    <t>OM-002</t>
  </si>
  <si>
    <t>Order amendment updates quantity without breaking reserved funds logic</t>
  </si>
  <si>
    <t>An amendable open order exists.</t>
  </si>
  <si>
    <t>Open limit order</t>
  </si>
  <si>
    <t>Amend the order quantity upward and downward within allowed limits; review reserved balance and status.</t>
  </si>
  <si>
    <t>Amendment succeeds within rules; reserved funds are recalculated correctly; order ID/versioning follows product design.</t>
  </si>
  <si>
    <t>OM-003</t>
  </si>
  <si>
    <t>Order amendment crossing the spread executes according to matching rules</t>
  </si>
  <si>
    <t>An open order exists and amended price would cross the book.</t>
  </si>
  <si>
    <t>Amended limit order crossing spread</t>
  </si>
  <si>
    <t>Amend a resting limit order to a marketable price; monitor fills and final status.</t>
  </si>
  <si>
    <t>Order is matched per exchange rules; fills, balances, and history reflect the amended execution correctly.</t>
  </si>
  <si>
    <t>OM-004</t>
  </si>
  <si>
    <t>Partially filled order can be canceled for remaining quantity only</t>
  </si>
  <si>
    <t>Order already has one or more partial fills.</t>
  </si>
  <si>
    <t>Partially filled order</t>
  </si>
  <si>
    <t>Cancel a partially filled order from open orders panel.</t>
  </si>
  <si>
    <t>Only the remaining unfilled quantity is canceled; executed fills remain final and correctly recorded.</t>
  </si>
  <si>
    <t>OM-005</t>
  </si>
  <si>
    <t>Batch cancel all open orders works for selected market or all markets</t>
  </si>
  <si>
    <t>Multiple open orders exist.</t>
  </si>
  <si>
    <t>Several open orders</t>
  </si>
  <si>
    <t>Use Cancel All action for current market and for all markets; verify scope and outcomes.</t>
  </si>
  <si>
    <t>Only targeted open orders are canceled; unrelated orders remain unchanged when scope is limited.</t>
  </si>
  <si>
    <t>OM-006</t>
  </si>
  <si>
    <t>Duplicate client action does not create duplicate orders</t>
  </si>
  <si>
    <t>Order submit action is available.</t>
  </si>
  <si>
    <t>Repeated submit / duplicate clientOrderId</t>
  </si>
  <si>
    <t>Double-click submit or replay identical request/clientOrderId rapidly.</t>
  </si>
  <si>
    <t>System prevents duplicate order creation using idempotency or client-side protection; at most one valid order is created.</t>
  </si>
  <si>
    <t>OM-007</t>
  </si>
  <si>
    <t>Order status remains consistent across UI, REST API, and websocket updates</t>
  </si>
  <si>
    <t>User can access UI and API/websocket feeds.</t>
  </si>
  <si>
    <t>Order lifecycle across channels</t>
  </si>
  <si>
    <t>Place/cancel/amend orders; compare status in UI, REST responses, and streaming updates.</t>
  </si>
  <si>
    <t>Status, quantities, prices, and timestamps remain consistent across channels within acceptable sync delay.</t>
  </si>
  <si>
    <t>OM-008</t>
  </si>
  <si>
    <t>Orders are rejected gracefully during maintenance or market halt</t>
  </si>
  <si>
    <t>Maintenance mode or pair halt is enabled.</t>
  </si>
  <si>
    <t>Maintenance / trading halt scenario</t>
  </si>
  <si>
    <t>Attempt to place or amend orders during trading suspension.</t>
  </si>
  <si>
    <t>System returns controlled error message/codes; no order is created or modified while market is unavailable.</t>
  </si>
  <si>
    <t>Security Auth – Manual Test Cases</t>
  </si>
  <si>
    <t>SA-001</t>
  </si>
  <si>
    <t>Login succeeds with valid credentials and valid OTP</t>
  </si>
  <si>
    <t>User account exists, is active, and 2FA is enabled.</t>
  </si>
  <si>
    <t>Valid credentials + valid OTP</t>
  </si>
  <si>
    <t>Enter valid username/password; provide correct OTP; complete login.</t>
  </si>
  <si>
    <t>User is authenticated successfully and lands on the authorized dashboard/session.</t>
  </si>
  <si>
    <t>SA-002</t>
  </si>
  <si>
    <t>Invalid password attempts trigger lockout or throttling policy</t>
  </si>
  <si>
    <t>User account exists.</t>
  </si>
  <si>
    <t>Multiple invalid password attempts</t>
  </si>
  <si>
    <t>Enter incorrect password repeatedly up to and beyond configured threshold.</t>
  </si>
  <si>
    <t>System enforces throttling, captcha, or temporary lockout according to security policy and logs the event.</t>
  </si>
  <si>
    <t>SA-003</t>
  </si>
  <si>
    <t>Invalid or expired OTP is rejected</t>
  </si>
  <si>
    <t>2FA is enabled and login reaches OTP step.</t>
  </si>
  <si>
    <t>Invalid/expired OTP</t>
  </si>
  <si>
    <t>Enter incorrect or expired OTP and submit.</t>
  </si>
  <si>
    <t>Authentication is denied with generic but clear error; session is not created.</t>
  </si>
  <si>
    <t>SA-004</t>
  </si>
  <si>
    <t>Idle session times out automatically</t>
  </si>
  <si>
    <t>User is logged in successfully.</t>
  </si>
  <si>
    <t>Configured idle timeout</t>
  </si>
  <si>
    <t>Remain idle until timeout threshold passes; try protected action afterward.</t>
  </si>
  <si>
    <t>Session expires according to policy; user is redirected to login and must re-authenticate.</t>
  </si>
  <si>
    <t>SA-005</t>
  </si>
  <si>
    <t>New device or suspicious login triggers step-up verification</t>
  </si>
  <si>
    <t>Account security controls are enabled.</t>
  </si>
  <si>
    <t>New device / unusual IP</t>
  </si>
  <si>
    <t>Login from unrecognized browser/device/IP range; complete or skip verification depending on scenario.</t>
  </si>
  <si>
    <t>System triggers additional verification or alerts according to policy; risky access is not silently trusted.</t>
  </si>
  <si>
    <t>SA-006</t>
  </si>
  <si>
    <t>Password reset invalidates existing sessions</t>
  </si>
  <si>
    <t>User has active sessions and can reset password.</t>
  </si>
  <si>
    <t>Password reset scenario</t>
  </si>
  <si>
    <t>Initiate password reset; set new password; attempt to use old active session(s).</t>
  </si>
  <si>
    <t>Previous sessions are invalidated and require login with the new password.</t>
  </si>
  <si>
    <t>SA-007</t>
  </si>
  <si>
    <t>API key permission scopes are enforced</t>
  </si>
  <si>
    <t>User has API keys with different scopes (read-only, trade, withdraw).</t>
  </si>
  <si>
    <t>API keys with varied scopes</t>
  </si>
  <si>
    <t>Call endpoints outside granted scope for a read-only key; compare with correctly scoped key.</t>
  </si>
  <si>
    <t>Requests outside the granted scope are denied with proper error codes; permitted actions continue to work.</t>
  </si>
  <si>
    <t>SA-008</t>
  </si>
  <si>
    <t>Withdrawal action requires security verification even in active session</t>
  </si>
  <si>
    <t>User is logged in and attempts withdrawal-sensitive action.</t>
  </si>
  <si>
    <t>Active session withdrawal flow</t>
  </si>
  <si>
    <t>Begin withdrawal from an active session and bypass intermediate page refreshes if possible.</t>
  </si>
  <si>
    <t>System requires configured security checks (OTP/email/device confirmation) before final submission.</t>
  </si>
  <si>
    <t>API Trading – Manual Test Cases</t>
  </si>
  <si>
    <t>AT-001</t>
  </si>
  <si>
    <t>Public market data endpoint returns 200 and schema-compliant payload</t>
  </si>
  <si>
    <t>API environment is reachable.</t>
  </si>
  <si>
    <t>GET /market/ticker</t>
  </si>
  <si>
    <t>Call public ticker/orderbook endpoint for supported symbol; validate response fields and types.</t>
  </si>
  <si>
    <t>Endpoint responds successfully within expected SLA; schema, field names, and data types match API contract.</t>
  </si>
  <si>
    <t>AT-002</t>
  </si>
  <si>
    <t>Private endpoint rejects unsigned or unauthenticated requests</t>
  </si>
  <si>
    <t>Private API endpoint is available.</t>
  </si>
  <si>
    <t>GET /account/balance without auth</t>
  </si>
  <si>
    <t>Call private account or order endpoint without authentication/signature.</t>
  </si>
  <si>
    <t>API returns correct authentication error status/code and does not expose sensitive data.</t>
  </si>
  <si>
    <t>AT-003</t>
  </si>
  <si>
    <t>Create order API accepts valid request and returns order identifiers</t>
  </si>
  <si>
    <t>API key has trade permission and sufficient balance exists.</t>
  </si>
  <si>
    <t>POST /order/create valid payload</t>
  </si>
  <si>
    <t>Send signed create-order request with valid symbol, side, type, and quantity.</t>
  </si>
  <si>
    <t>API acknowledges the order, returns stable identifiers, and order becomes visible in account/UI feeds.</t>
  </si>
  <si>
    <t>AT-004</t>
  </si>
  <si>
    <t>Invalid signature is rejected</t>
  </si>
  <si>
    <t>API signing mechanism is known.</t>
  </si>
  <si>
    <t>Invalid HMAC/signature</t>
  </si>
  <si>
    <t>Send request with tampered signature or payload after signing.</t>
  </si>
  <si>
    <t>API rejects the request with correct signature error; no side effects occur.</t>
  </si>
  <si>
    <t>AT-005</t>
  </si>
  <si>
    <t>Timestamp skew beyond allowed window is rejected</t>
  </si>
  <si>
    <t>Signed API requests require timestamps.</t>
  </si>
  <si>
    <t>Old or future timestamp</t>
  </si>
  <si>
    <t>Send otherwise valid signed request with timestamp outside accepted tolerance.</t>
  </si>
  <si>
    <t>API rejects request with timestamp/recvWindow error and does not process it.</t>
  </si>
  <si>
    <t>AT-006</t>
  </si>
  <si>
    <t>Rate limiting returns proper headers and controlled 429 behavior</t>
  </si>
  <si>
    <t>API rate limits are configured.</t>
  </si>
  <si>
    <t>Burst request script / repeated calls</t>
  </si>
  <si>
    <t>Send burst traffic above allowed limit to target endpoint; inspect headers and reset behavior.</t>
  </si>
  <si>
    <t>API responds with expected rate-limit headers and controlled throttling status without corrupting state.</t>
  </si>
  <si>
    <t>AT-007</t>
  </si>
  <si>
    <t>Duplicate client order ID behaves idempotently or returns deterministic error</t>
  </si>
  <si>
    <t>Create order API supports clientOrderId.</t>
  </si>
  <si>
    <t>Repeated clientOrderId</t>
  </si>
  <si>
    <t>Send two create-order requests with the same clientOrderId under valid conditions.</t>
  </si>
  <si>
    <t>System prevents accidental duplicate creation and returns deterministic behavior per API contract.</t>
  </si>
  <si>
    <t>AT-008</t>
  </si>
  <si>
    <t>Balance and order status are consistent between API and UI after trade execution</t>
  </si>
  <si>
    <t>User can access both UI and API for the same account.</t>
  </si>
  <si>
    <t>End-to-end API/UI consistency</t>
  </si>
  <si>
    <t>Execute trade via API or UI; compare balances, order status, fills, and history across both channels.</t>
  </si>
  <si>
    <t>API and UI show consistent post-trade state within acceptable propagation delay.</t>
  </si>
  <si>
    <t>Defect Log Template</t>
  </si>
  <si>
    <t>Use this sheet to register failed tests, evidence links, severity, and retest status.</t>
  </si>
  <si>
    <t>Linked TC ID</t>
  </si>
  <si>
    <t>Summary</t>
  </si>
  <si>
    <t>Severity</t>
  </si>
  <si>
    <t>Status</t>
  </si>
  <si>
    <t>Date Raised</t>
  </si>
  <si>
    <t>Build / Release</t>
  </si>
  <si>
    <t>Evidence Link</t>
  </si>
  <si>
    <t>Open</t>
  </si>
  <si>
    <t>UAT</t>
  </si>
  <si>
    <t>Executed</t>
  </si>
  <si>
    <t>Staging</t>
  </si>
  <si>
    <t>Fixed</t>
  </si>
  <si>
    <t>Low</t>
  </si>
  <si>
    <t>Prod Mirror</t>
  </si>
  <si>
    <t>Retest</t>
  </si>
  <si>
    <t>API Sandbox</t>
  </si>
  <si>
    <t>Closed</t>
  </si>
  <si>
    <t>Deferred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</si>
</sst>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2">
    <numFmt numFmtId="164" formatCode="0.0%"/>
    <numFmt numFmtId="165" formatCode="yyyy-mm-dd"/>
  </numFmts>
  <fonts count="12">
    <font>
      <sz val="11.0"/>
      <color theme="1"/>
      <name val="Calibri"/>
      <scheme val="minor"/>
    </font>
    <font>
      <b/>
      <sz val="16.0"/>
      <color rgb="FFFFFFFF"/>
      <name val="Calibri"/>
    </font>
    <font/>
    <font>
      <i/>
      <sz val="11.0"/>
      <color rgb="FFFFFFFF"/>
      <name val="Calibri"/>
    </font>
    <font>
      <b/>
      <color theme="1"/>
      <name val="Calibri"/>
      <scheme val="minor"/>
    </font>
    <font>
      <sz val="11.0"/>
      <color theme="1"/>
      <name val="Calibri"/>
    </font>
    <font>
      <b/>
      <sz val="11.0"/>
      <color rgb="FFFFFFFF"/>
      <name val="Calibri"/>
    </font>
    <font>
      <sz val="12.0"/>
      <color theme="10"/>
      <name val="Calibri"/>
    </font>
    <font>
      <sz val="10.0"/>
      <color rgb="FF000000"/>
      <name val="Calibri"/>
    </font>
    <font>
      <i/>
      <sz val="10.0"/>
      <color rgb="FF5B5B5B"/>
      <name val="Calibri"/>
    </font>
    <font>
      <color theme="1"/>
      <name val="Calibri"/>
      <scheme val="minor"/>
    </font>
    <font>
      <sz val="10.0"/>
      <color rgb="FF0000FF"/>
      <name val="Calibri"/>
    </font>
  </fonts>
  <fills count="10">
    <fill>
      <patternFill patternType="none"/>
    </fill>
    <fill>
      <patternFill patternType="lightGray"/>
    </fill>
    <fill>
      <patternFill patternType="solid">
        <fgColor rgb="FF1F4E78"/>
        <bgColor rgb="FF1F4E78"/>
      </patternFill>
    </fill>
    <fill>
      <patternFill patternType="solid">
        <fgColor rgb="FFE7E6E6"/>
        <bgColor rgb="FFE7E6E6"/>
      </patternFill>
    </fill>
    <fill>
      <patternFill patternType="solid">
        <fgColor rgb="FFD9EAF7"/>
        <bgColor rgb="FFD9EAF7"/>
      </patternFill>
    </fill>
    <fill>
      <patternFill patternType="solid">
        <fgColor rgb="FFE2F0D9"/>
        <bgColor rgb="FFE2F0D9"/>
      </patternFill>
    </fill>
    <fill>
      <patternFill patternType="solid">
        <fgColor rgb="FFFDE9E7"/>
        <bgColor rgb="FFFDE9E7"/>
      </patternFill>
    </fill>
    <fill>
      <patternFill patternType="solid">
        <fgColor rgb="FFFFF2CC"/>
        <bgColor rgb="FFFFF2CC"/>
      </patternFill>
    </fill>
    <fill>
      <patternFill patternType="solid">
        <fgColor rgb="FFFFFFFF"/>
        <bgColor rgb="FFFFFFFF"/>
      </patternFill>
    </fill>
    <fill>
      <patternFill patternType="solid">
        <fgColor rgb="FFFCE4D6"/>
        <bgColor rgb="FFFCE4D6"/>
      </patternFill>
    </fill>
  </fills>
  <borders count="8">
    <border/>
    <border>
      <left/>
      <top/>
      <bottom/>
    </border>
    <border>
      <top/>
      <bottom/>
    </border>
    <border>
      <right/>
      <top/>
      <bottom/>
    </border>
    <border>
      <left style="thin">
        <color rgb="FFB7C9D6"/>
      </left>
      <right style="thin">
        <color rgb="FFB7C9D6"/>
      </right>
      <top style="thin">
        <color rgb="FFB7C9D6"/>
      </top>
      <bottom style="thin">
        <color rgb="FFB7C9D6"/>
      </bottom>
    </border>
    <border>
      <left style="thin">
        <color rgb="FFB7C9D6"/>
      </left>
      <top style="thin">
        <color rgb="FFB7C9D6"/>
      </top>
      <bottom style="thin">
        <color rgb="FFB7C9D6"/>
      </bottom>
    </border>
    <border>
      <top style="thin">
        <color rgb="FFB7C9D6"/>
      </top>
      <bottom style="thin">
        <color rgb="FFB7C9D6"/>
      </bottom>
    </border>
    <border>
      <right style="thin">
        <color rgb="FFB7C9D6"/>
      </right>
      <top style="thin">
        <color rgb="FFB7C9D6"/>
      </top>
      <bottom style="thin">
        <color rgb="FFB7C9D6"/>
      </bottom>
    </border>
  </borders>
  <cellStyleXfs count="1">
    <xf borderId="0" fillId="0" fontId="0" numFmtId="0" applyAlignment="1" applyFont="1"/>
  </cellStyleXfs>
  <cellXfs count="43">
    <xf borderId="0" fillId="0" fontId="0" numFmtId="0" xfId="0" applyAlignment="1" applyFont="1">
      <alignment readingOrder="0" shrinkToFit="0" vertical="bottom" wrapText="0"/>
    </xf>
    <xf borderId="1" fillId="2" fontId="1" numFmtId="0" xfId="0" applyAlignment="1" applyBorder="1" applyFill="1" applyFont="1">
      <alignment horizontal="left" vertical="center"/>
    </xf>
    <xf borderId="2" fillId="0" fontId="2" numFmtId="0" xfId="0" applyBorder="1" applyFont="1"/>
    <xf borderId="3" fillId="0" fontId="2" numFmtId="0" xfId="0" applyBorder="1" applyFont="1"/>
    <xf borderId="1" fillId="2" fontId="3" numFmtId="0" xfId="0" applyAlignment="1" applyBorder="1" applyFont="1">
      <alignment horizontal="left" vertical="center"/>
    </xf>
    <xf borderId="4" fillId="3" fontId="4" numFmtId="0" xfId="0" applyBorder="1" applyFill="1" applyFont="1"/>
    <xf borderId="4" fillId="0" fontId="5" numFmtId="0" xfId="0" applyAlignment="1" applyBorder="1" applyFont="1">
      <alignment shrinkToFit="0" vertical="top" wrapText="1"/>
    </xf>
    <xf borderId="4" fillId="4" fontId="4" numFmtId="0" xfId="0" applyBorder="1" applyFill="1" applyFont="1"/>
    <xf borderId="4" fillId="2" fontId="6" numFmtId="0" xfId="0" applyBorder="1" applyFont="1"/>
    <xf borderId="4" fillId="0" fontId="7" numFmtId="0" xfId="0" applyBorder="1" applyFont="1"/>
    <xf borderId="4" fillId="0" fontId="5" numFmtId="0" xfId="0" applyAlignment="1" applyBorder="1" applyFont="1">
      <alignment shrinkToFit="0" wrapText="1"/>
    </xf>
    <xf borderId="4" fillId="5" fontId="5" numFmtId="0" xfId="0" applyBorder="1" applyFill="1" applyFont="1"/>
    <xf borderId="4" fillId="6" fontId="5" numFmtId="0" xfId="0" applyBorder="1" applyFill="1" applyFont="1"/>
    <xf borderId="4" fillId="7" fontId="5" numFmtId="0" xfId="0" applyBorder="1" applyFill="1" applyFont="1"/>
    <xf borderId="4" fillId="3" fontId="5" numFmtId="0" xfId="0" applyBorder="1" applyFont="1"/>
    <xf borderId="4" fillId="4" fontId="5" numFmtId="0" xfId="0" applyBorder="1" applyFont="1"/>
    <xf borderId="4" fillId="2" fontId="6" numFmtId="0" xfId="0" applyAlignment="1" applyBorder="1" applyFont="1">
      <alignment horizontal="center"/>
    </xf>
    <xf borderId="4" fillId="0" fontId="7" numFmtId="0" xfId="0" applyAlignment="1" applyBorder="1" applyFont="1">
      <alignment horizontal="left"/>
    </xf>
    <xf borderId="4" fillId="0" fontId="5" numFmtId="0" xfId="0" applyAlignment="1" applyBorder="1" applyFont="1">
      <alignment horizontal="center"/>
    </xf>
    <xf borderId="4" fillId="0" fontId="5" numFmtId="164" xfId="0" applyAlignment="1" applyBorder="1" applyFont="1" applyNumberFormat="1">
      <alignment horizontal="center"/>
    </xf>
    <xf borderId="4" fillId="5" fontId="4" numFmtId="0" xfId="0" applyBorder="1" applyFont="1"/>
    <xf borderId="4" fillId="6" fontId="4" numFmtId="0" xfId="0" applyBorder="1" applyFont="1"/>
    <xf borderId="4" fillId="7" fontId="4" numFmtId="0" xfId="0" applyBorder="1" applyFont="1"/>
    <xf borderId="4" fillId="3" fontId="4" numFmtId="0" xfId="0" applyAlignment="1" applyBorder="1" applyFont="1">
      <alignment horizontal="center"/>
    </xf>
    <xf borderId="4" fillId="3" fontId="4" numFmtId="164" xfId="0" applyAlignment="1" applyBorder="1" applyFont="1" applyNumberFormat="1">
      <alignment horizontal="center"/>
    </xf>
    <xf borderId="4" fillId="3" fontId="4" numFmtId="0" xfId="0" applyAlignment="1" applyBorder="1" applyFont="1">
      <alignment horizontal="left"/>
    </xf>
    <xf borderId="4" fillId="8" fontId="8" numFmtId="0" xfId="0" applyAlignment="1" applyBorder="1" applyFill="1" applyFont="1">
      <alignment horizontal="left"/>
    </xf>
    <xf borderId="4" fillId="4" fontId="4" numFmtId="0" xfId="0" applyAlignment="1" applyBorder="1" applyFont="1">
      <alignment horizontal="left"/>
    </xf>
    <xf borderId="4" fillId="8" fontId="8" numFmtId="0" xfId="0" applyAlignment="1" applyBorder="1" applyFont="1">
      <alignment horizontal="center"/>
    </xf>
    <xf borderId="4" fillId="8" fontId="8" numFmtId="164" xfId="0" applyAlignment="1" applyBorder="1" applyFont="1" applyNumberFormat="1">
      <alignment horizontal="center"/>
    </xf>
    <xf borderId="4" fillId="9" fontId="4" numFmtId="0" xfId="0" applyBorder="1" applyFill="1" applyFont="1"/>
    <xf borderId="5" fillId="9" fontId="9" numFmtId="0" xfId="0" applyAlignment="1" applyBorder="1" applyFont="1">
      <alignment shrinkToFit="0" wrapText="1"/>
    </xf>
    <xf borderId="6" fillId="0" fontId="2" numFmtId="0" xfId="0" applyBorder="1" applyFont="1"/>
    <xf borderId="7" fillId="0" fontId="2" numFmtId="0" xfId="0" applyBorder="1" applyFont="1"/>
    <xf borderId="4" fillId="2" fontId="6" numFmtId="0" xfId="0" applyAlignment="1" applyBorder="1" applyFont="1">
      <alignment horizontal="center" shrinkToFit="0" vertical="center" wrapText="1"/>
    </xf>
    <xf borderId="0" fillId="0" fontId="10" numFmtId="0" xfId="0" applyFont="1"/>
    <xf borderId="4" fillId="0" fontId="8" numFmtId="0" xfId="0" applyAlignment="1" applyBorder="1" applyFont="1">
      <alignment horizontal="center" vertical="top"/>
    </xf>
    <xf borderId="4" fillId="0" fontId="8" numFmtId="0" xfId="0" applyAlignment="1" applyBorder="1" applyFont="1">
      <alignment shrinkToFit="0" vertical="top" wrapText="1"/>
    </xf>
    <xf borderId="4" fillId="0" fontId="11" numFmtId="0" xfId="0" applyAlignment="1" applyBorder="1" applyFont="1">
      <alignment horizontal="center" vertical="top"/>
    </xf>
    <xf borderId="4" fillId="0" fontId="11" numFmtId="0" xfId="0" applyAlignment="1" applyBorder="1" applyFont="1">
      <alignment shrinkToFit="0" vertical="top" wrapText="1"/>
    </xf>
    <xf borderId="4" fillId="0" fontId="11" numFmtId="165" xfId="0" applyAlignment="1" applyBorder="1" applyFont="1" applyNumberFormat="1">
      <alignment shrinkToFit="0" vertical="top" wrapText="1"/>
    </xf>
    <xf borderId="4" fillId="2" fontId="6" numFmtId="0" xfId="0" applyAlignment="1" applyBorder="1" applyFont="1">
      <alignment horizontal="center" shrinkToFit="0" wrapText="1"/>
    </xf>
    <xf borderId="0" fillId="0" fontId="10" numFmtId="0" xfId="0" applyFont="1"/>
  </cellXfs>
  <cellStyles count="1">
    <cellStyle xfId="0" name="Normal" builtinId="0"/>
  </cellStyles>
  <dxfs count="13"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DBE5F1"/>
          <bgColor rgb="FFDBE5F1"/>
        </patternFill>
      </fill>
      <border/>
    </dxf>
    <dxf>
      <font/>
      <fill>
        <patternFill patternType="solid">
          <fgColor theme="0"/>
          <bgColor theme="0"/>
        </patternFill>
      </fill>
      <border/>
    </dxf>
    <dxf>
      <font/>
      <fill>
        <patternFill patternType="solid">
          <fgColor rgb="FFE2F0D9"/>
          <bgColor rgb="FFE2F0D9"/>
        </patternFill>
      </fill>
      <border/>
    </dxf>
    <dxf>
      <font/>
      <fill>
        <patternFill patternType="solid">
          <fgColor rgb="FFFDE9E7"/>
          <bgColor rgb="FFFDE9E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E7E6E6"/>
          <bgColor rgb="FFE7E6E6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CE4D6"/>
          <bgColor rgb="FFFCE4D6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/>
      <fill>
        <patternFill patternType="solid">
          <fgColor rgb="FFFCE5CD"/>
          <bgColor rgb="FFFCE5CD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</dxfs>
  <tableStyles count="6">
    <tableStyle count="3" pivot="0" name="Wallet_Deposit-style">
      <tableStyleElement dxfId="1" type="headerRow"/>
      <tableStyleElement dxfId="2" type="firstRowStripe"/>
      <tableStyleElement dxfId="3" type="secondRowStripe"/>
    </tableStyle>
    <tableStyle count="3" pivot="0" name="Wallet_Withdrawal-style">
      <tableStyleElement dxfId="1" type="headerRow"/>
      <tableStyleElement dxfId="2" type="firstRowStripe"/>
      <tableStyleElement dxfId="3" type="secondRowStripe"/>
    </tableStyle>
    <tableStyle count="3" pivot="0" name="Spot_Trading-style">
      <tableStyleElement dxfId="1" type="headerRow"/>
      <tableStyleElement dxfId="2" type="firstRowStripe"/>
      <tableStyleElement dxfId="3" type="secondRowStripe"/>
    </tableStyle>
    <tableStyle count="3" pivot="0" name="Order_Management-style">
      <tableStyleElement dxfId="1" type="headerRow"/>
      <tableStyleElement dxfId="2" type="firstRowStripe"/>
      <tableStyleElement dxfId="3" type="secondRowStripe"/>
    </tableStyle>
    <tableStyle count="3" pivot="0" name="Security_Auth-style">
      <tableStyleElement dxfId="1" type="headerRow"/>
      <tableStyleElement dxfId="2" type="firstRowStripe"/>
      <tableStyleElement dxfId="3" type="secondRowStripe"/>
    </tableStyle>
    <tableStyle count="3" pivot="0" name="API_Trading-style">
      <tableStyleElement dxfId="1" type="headerRow"/>
      <tableStyleElement dxfId="2" type="firstRowStripe"/>
      <tableStyleElement dxfId="3" type="secondRowStripe"/>
    </tableStyle>
  </tableStyles>
</styleSheet>
</file>

<file path=xl/_rels/comments1.xml.rels><?xml version="1.0" encoding="UTF-8" standalone="yes"?><Relationships xmlns="http://schemas.openxmlformats.org/package/2006/relationships"><Relationship Id="rId1" Type="http://customschemas.google.com/relationships/workbookmetadata" Target="commentsmeta0"/></Relationships>
</file>

<file path=xl/_rels/workbook.xml.rels><?xml version="1.0" encoding="UTF-8" standalone="yes"?><Relationships xmlns="http://schemas.openxmlformats.org/package/2006/relationships"><Relationship Id="rId11" Type="http://schemas.openxmlformats.org/officeDocument/2006/relationships/worksheet" Target="worksheets/sheet8.xml"/><Relationship Id="rId10" Type="http://schemas.openxmlformats.org/officeDocument/2006/relationships/worksheet" Target="worksheets/sheet7.xml"/><Relationship Id="rId13" Type="http://schemas.openxmlformats.org/officeDocument/2006/relationships/worksheet" Target="worksheets/sheet10.xml"/><Relationship Id="rId12" Type="http://schemas.openxmlformats.org/officeDocument/2006/relationships/worksheet" Target="worksheets/sheet9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14" Type="http://customschemas.google.com/relationships/workbookmetadata" Target="metadata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b="0">
                <a:solidFill>
                  <a:srgbClr val="757575"/>
                </a:solidFill>
                <a:latin typeface="+mn-lt"/>
              </a:rPr>
              <a:t>Overall Result Distribution</a:t>
            </a:r>
          </a:p>
        </c:rich>
      </c:tx>
      <c:overlay val="0"/>
    </c:title>
    <c:plotArea>
      <c:layout/>
      <c:barChart>
        <c:barDir val="bar"/>
        <c:ser>
          <c:idx val="0"/>
          <c:order val="0"/>
          <c:spPr>
            <a:solidFill>
              <a:schemeClr val="accent1"/>
            </a:solidFill>
            <a:ln cmpd="sng">
              <a:solidFill>
                <a:srgbClr val="000000"/>
              </a:solidFill>
            </a:ln>
          </c:spPr>
          <c:cat>
            <c:strRef>
              <c:f>Execution_Summary!$I$5:$I$8</c:f>
            </c:strRef>
          </c:cat>
          <c:val>
            <c:numRef>
              <c:f>Execution_Summary!$J$5:$J$8</c:f>
              <c:numCache/>
            </c:numRef>
          </c:val>
        </c:ser>
        <c:axId val="1112105450"/>
        <c:axId val="1089890873"/>
      </c:barChart>
      <c:catAx>
        <c:axId val="1112105450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>Count</a:t>
                </a:r>
              </a:p>
            </c:rich>
          </c:tx>
          <c:overlay val="0"/>
        </c:title>
        <c:numFmt formatCode="" sourceLinked="0"/>
        <c:majorTickMark val="none"/>
        <c:minorTickMark val="none"/>
        <c:spPr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1089890873"/>
      </c:catAx>
      <c:valAx>
        <c:axId val="108989087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>Status</a:t>
                </a:r>
              </a:p>
            </c:rich>
          </c:tx>
          <c:overlay val="0"/>
        </c:title>
        <c:numFmt formatCode="" sourceLinked="0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1112105450"/>
        <c:crosses val="max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9</xdr:row>
      <xdr:rowOff>0</xdr:rowOff>
    </xdr:from>
    <xdr:ext cx="0" cy="200025"/>
    <xdr:graphicFrame>
      <xdr:nvGraphicFramePr>
        <xdr:cNvPr id="322089051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10:P19" displayName="Table_1" name="Table_1" id="1">
  <tableColumns count="16">
    <tableColumn name="TC ID" id="1"/>
    <tableColumn name="Scenario / Requirement" id="2"/>
    <tableColumn name="Objective / Risk" id="3"/>
    <tableColumn name="Priority" id="4"/>
    <tableColumn name="Preconditions" id="5"/>
    <tableColumn name="Test Data" id="6"/>
    <tableColumn name="Test Steps" id="7"/>
    <tableColumn name="Expected Result" id="8"/>
    <tableColumn name="Execution Status" id="9"/>
    <tableColumn name="Actual Result" id="10"/>
    <tableColumn name="Result" id="11"/>
    <tableColumn name="Defect ID" id="12"/>
    <tableColumn name="Tester" id="13"/>
    <tableColumn name="Execution Date" id="14"/>
    <tableColumn name="Environment" id="15"/>
    <tableColumn name="Notes" id="16"/>
  </tableColumns>
  <tableStyleInfo name="Wallet_Deposit-style" showColumnStripes="0" showFirstColumn="1" showLastColumn="1" showRowStripes="1"/>
</table>
</file>

<file path=xl/tables/table2.xml><?xml version="1.0" encoding="utf-8"?>
<table xmlns="http://schemas.openxmlformats.org/spreadsheetml/2006/main" ref="A10:P19" displayName="Table_2" name="Table_2" id="2">
  <tableColumns count="16">
    <tableColumn name="TC ID" id="1"/>
    <tableColumn name="Scenario / Requirement" id="2"/>
    <tableColumn name="Objective / Risk" id="3"/>
    <tableColumn name="Priority" id="4"/>
    <tableColumn name="Preconditions" id="5"/>
    <tableColumn name="Test Data" id="6"/>
    <tableColumn name="Test Steps" id="7"/>
    <tableColumn name="Expected Result" id="8"/>
    <tableColumn name="Execution Status" id="9"/>
    <tableColumn name="Actual Result" id="10"/>
    <tableColumn name="Result" id="11"/>
    <tableColumn name="Defect ID" id="12"/>
    <tableColumn name="Tester" id="13"/>
    <tableColumn name="Execution Date" id="14"/>
    <tableColumn name="Environment" id="15"/>
    <tableColumn name="Notes" id="16"/>
  </tableColumns>
  <tableStyleInfo name="Wallet_Withdrawal-style" showColumnStripes="0" showFirstColumn="1" showLastColumn="1" showRowStripes="1"/>
</table>
</file>

<file path=xl/tables/table3.xml><?xml version="1.0" encoding="utf-8"?>
<table xmlns="http://schemas.openxmlformats.org/spreadsheetml/2006/main" ref="A10:P19" displayName="Table_3" name="Table_3" id="3">
  <tableColumns count="16">
    <tableColumn name="TC ID" id="1"/>
    <tableColumn name="Scenario / Requirement" id="2"/>
    <tableColumn name="Objective / Risk" id="3"/>
    <tableColumn name="Priority" id="4"/>
    <tableColumn name="Preconditions" id="5"/>
    <tableColumn name="Test Data" id="6"/>
    <tableColumn name="Test Steps" id="7"/>
    <tableColumn name="Expected Result" id="8"/>
    <tableColumn name="Execution Status" id="9"/>
    <tableColumn name="Actual Result" id="10"/>
    <tableColumn name="Result" id="11"/>
    <tableColumn name="Defect ID" id="12"/>
    <tableColumn name="Tester" id="13"/>
    <tableColumn name="Execution Date" id="14"/>
    <tableColumn name="Environment" id="15"/>
    <tableColumn name="Notes" id="16"/>
  </tableColumns>
  <tableStyleInfo name="Spot_Trading-style" showColumnStripes="0" showFirstColumn="1" showLastColumn="1" showRowStripes="1"/>
</table>
</file>

<file path=xl/tables/table4.xml><?xml version="1.0" encoding="utf-8"?>
<table xmlns="http://schemas.openxmlformats.org/spreadsheetml/2006/main" ref="A10:P19" displayName="Table_4" name="Table_4" id="4">
  <tableColumns count="16">
    <tableColumn name="TC ID" id="1"/>
    <tableColumn name="Scenario / Requirement" id="2"/>
    <tableColumn name="Objective / Risk" id="3"/>
    <tableColumn name="Priority" id="4"/>
    <tableColumn name="Preconditions" id="5"/>
    <tableColumn name="Test Data" id="6"/>
    <tableColumn name="Test Steps" id="7"/>
    <tableColumn name="Expected Result" id="8"/>
    <tableColumn name="Execution Status" id="9"/>
    <tableColumn name="Actual Result" id="10"/>
    <tableColumn name="Result" id="11"/>
    <tableColumn name="Defect ID" id="12"/>
    <tableColumn name="Tester" id="13"/>
    <tableColumn name="Execution Date" id="14"/>
    <tableColumn name="Environment" id="15"/>
    <tableColumn name="Notes" id="16"/>
  </tableColumns>
  <tableStyleInfo name="Order_Management-style" showColumnStripes="0" showFirstColumn="1" showLastColumn="1" showRowStripes="1"/>
</table>
</file>

<file path=xl/tables/table5.xml><?xml version="1.0" encoding="utf-8"?>
<table xmlns="http://schemas.openxmlformats.org/spreadsheetml/2006/main" ref="A10:P19" displayName="Table_5" name="Table_5" id="5">
  <tableColumns count="16">
    <tableColumn name="TC ID" id="1"/>
    <tableColumn name="Scenario / Requirement" id="2"/>
    <tableColumn name="Objective / Risk" id="3"/>
    <tableColumn name="Priority" id="4"/>
    <tableColumn name="Preconditions" id="5"/>
    <tableColumn name="Test Data" id="6"/>
    <tableColumn name="Test Steps" id="7"/>
    <tableColumn name="Expected Result" id="8"/>
    <tableColumn name="Execution Status" id="9"/>
    <tableColumn name="Actual Result" id="10"/>
    <tableColumn name="Result" id="11"/>
    <tableColumn name="Defect ID" id="12"/>
    <tableColumn name="Tester" id="13"/>
    <tableColumn name="Execution Date" id="14"/>
    <tableColumn name="Environment" id="15"/>
    <tableColumn name="Notes" id="16"/>
  </tableColumns>
  <tableStyleInfo name="Security_Auth-style" showColumnStripes="0" showFirstColumn="1" showLastColumn="1" showRowStripes="1"/>
</table>
</file>

<file path=xl/tables/table6.xml><?xml version="1.0" encoding="utf-8"?>
<table xmlns="http://schemas.openxmlformats.org/spreadsheetml/2006/main" ref="A10:P19" displayName="Table_6" name="Table_6" id="6">
  <tableColumns count="16">
    <tableColumn name="TC ID" id="1"/>
    <tableColumn name="Scenario / Requirement" id="2"/>
    <tableColumn name="Objective / Risk" id="3"/>
    <tableColumn name="Priority" id="4"/>
    <tableColumn name="Preconditions" id="5"/>
    <tableColumn name="Test Data" id="6"/>
    <tableColumn name="Test Steps" id="7"/>
    <tableColumn name="Expected Result" id="8"/>
    <tableColumn name="Execution Status" id="9"/>
    <tableColumn name="Actual Result" id="10"/>
    <tableColumn name="Result" id="11"/>
    <tableColumn name="Defect ID" id="12"/>
    <tableColumn name="Tester" id="13"/>
    <tableColumn name="Execution Date" id="14"/>
    <tableColumn name="Environment" id="15"/>
    <tableColumn name="Notes" id="16"/>
  </tableColumns>
  <tableStyleInfo name="API_Trading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Relationship Id="rId3" Type="http://schemas.openxmlformats.org/officeDocument/2006/relationships/table" Target="../tables/table1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Relationship Id="rId3" Type="http://schemas.openxmlformats.org/officeDocument/2006/relationships/table" Target="../tables/table2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drawing" Target="../drawings/drawing5.xml"/><Relationship Id="rId3" Type="http://schemas.openxmlformats.org/officeDocument/2006/relationships/vmlDrawing" Target="../drawings/vmlDrawing1.vml"/><Relationship Id="rId5" Type="http://schemas.openxmlformats.org/officeDocument/2006/relationships/table" Target="../tables/table3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Relationship Id="rId3" Type="http://schemas.openxmlformats.org/officeDocument/2006/relationships/table" Target="../tables/table4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Relationship Id="rId3" Type="http://schemas.openxmlformats.org/officeDocument/2006/relationships/table" Target="../tables/table5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Relationship Id="rId3" Type="http://schemas.openxmlformats.org/officeDocument/2006/relationships/table" Target="../tables/table6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22.0"/>
    <col customWidth="1" min="2" max="2" width="78.0"/>
    <col customWidth="1" min="3" max="3" width="4.0"/>
    <col customWidth="1" min="4" max="4" width="18.0"/>
    <col customWidth="1" min="5" max="5" width="20.0"/>
    <col customWidth="1" min="6" max="6" width="4.0"/>
    <col customWidth="1" min="7" max="26" width="8.71"/>
  </cols>
  <sheetData>
    <row r="1" ht="24.0" customHeight="1">
      <c r="A1" s="1" t="s">
        <v>0</v>
      </c>
      <c r="B1" s="2"/>
      <c r="C1" s="2"/>
      <c r="D1" s="2"/>
      <c r="E1" s="2"/>
      <c r="F1" s="3"/>
    </row>
    <row r="2" ht="19.5" customHeight="1">
      <c r="A2" s="4" t="s">
        <v>1</v>
      </c>
      <c r="B2" s="2"/>
      <c r="C2" s="2"/>
      <c r="D2" s="2"/>
      <c r="E2" s="2"/>
      <c r="F2" s="3"/>
    </row>
    <row r="4">
      <c r="A4" s="5" t="s">
        <v>2</v>
      </c>
      <c r="B4" s="6" t="s">
        <v>3</v>
      </c>
      <c r="D4" s="7" t="s">
        <v>4</v>
      </c>
    </row>
    <row r="5">
      <c r="A5" s="5" t="s">
        <v>5</v>
      </c>
      <c r="B5" s="6" t="s">
        <v>6</v>
      </c>
      <c r="D5" s="6" t="s">
        <v>7</v>
      </c>
    </row>
    <row r="6">
      <c r="A6" s="5" t="s">
        <v>8</v>
      </c>
      <c r="B6" s="6" t="s">
        <v>9</v>
      </c>
      <c r="D6" s="6" t="s">
        <v>10</v>
      </c>
    </row>
    <row r="7">
      <c r="A7" s="5" t="s">
        <v>11</v>
      </c>
      <c r="B7" s="6">
        <v>6.0</v>
      </c>
      <c r="D7" s="6" t="s">
        <v>12</v>
      </c>
    </row>
    <row r="8">
      <c r="D8" s="6" t="s">
        <v>13</v>
      </c>
    </row>
    <row r="10">
      <c r="A10" s="8" t="s">
        <v>14</v>
      </c>
      <c r="B10" s="8" t="s">
        <v>15</v>
      </c>
      <c r="D10" s="8" t="s">
        <v>16</v>
      </c>
    </row>
    <row r="11" ht="30.0" customHeight="1">
      <c r="A11" s="9" t="s">
        <v>17</v>
      </c>
      <c r="B11" s="10" t="s">
        <v>18</v>
      </c>
      <c r="D11" s="11" t="s">
        <v>19</v>
      </c>
    </row>
    <row r="12" ht="30.0" customHeight="1">
      <c r="A12" s="9" t="s">
        <v>20</v>
      </c>
      <c r="B12" s="10" t="s">
        <v>21</v>
      </c>
      <c r="D12" s="12" t="s">
        <v>22</v>
      </c>
    </row>
    <row r="13" ht="30.0" customHeight="1">
      <c r="A13" s="9" t="s">
        <v>23</v>
      </c>
      <c r="B13" s="10" t="s">
        <v>24</v>
      </c>
      <c r="D13" s="13" t="s">
        <v>25</v>
      </c>
    </row>
    <row r="14" ht="30.0" customHeight="1">
      <c r="A14" s="9" t="s">
        <v>26</v>
      </c>
      <c r="B14" s="10" t="s">
        <v>27</v>
      </c>
      <c r="D14" s="14" t="s">
        <v>28</v>
      </c>
    </row>
    <row r="15" ht="30.0" customHeight="1">
      <c r="A15" s="9" t="s">
        <v>29</v>
      </c>
      <c r="B15" s="10" t="s">
        <v>30</v>
      </c>
      <c r="D15" s="15" t="s">
        <v>31</v>
      </c>
    </row>
    <row r="16" ht="30.0" customHeight="1">
      <c r="A16" s="9" t="s">
        <v>32</v>
      </c>
      <c r="B16" s="10" t="s">
        <v>33</v>
      </c>
    </row>
    <row r="17" ht="30.0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F1"/>
    <mergeCell ref="A2:F2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22.0"/>
    <col customWidth="1" min="2" max="7" width="12.0"/>
    <col customWidth="1" min="8" max="8" width="4.0"/>
    <col customWidth="1" min="9" max="9" width="16.0"/>
    <col customWidth="1" min="10" max="10" width="12.0"/>
    <col customWidth="1" min="11" max="26" width="8.71"/>
  </cols>
  <sheetData>
    <row r="1" ht="24.0" customHeight="1">
      <c r="A1" s="1" t="s">
        <v>34</v>
      </c>
      <c r="B1" s="2"/>
      <c r="C1" s="2"/>
      <c r="D1" s="2"/>
      <c r="E1" s="2"/>
      <c r="F1" s="2"/>
      <c r="G1" s="2"/>
      <c r="H1" s="2"/>
      <c r="I1" s="2"/>
      <c r="J1" s="3"/>
    </row>
    <row r="2" ht="19.5" customHeight="1">
      <c r="A2" s="4" t="s">
        <v>35</v>
      </c>
      <c r="B2" s="2"/>
      <c r="C2" s="2"/>
      <c r="D2" s="2"/>
      <c r="E2" s="2"/>
      <c r="F2" s="2"/>
      <c r="G2" s="2"/>
      <c r="H2" s="2"/>
      <c r="I2" s="2"/>
      <c r="J2" s="3"/>
    </row>
    <row r="4">
      <c r="A4" s="16" t="s">
        <v>36</v>
      </c>
      <c r="B4" s="16" t="s">
        <v>37</v>
      </c>
      <c r="C4" s="16" t="s">
        <v>19</v>
      </c>
      <c r="D4" s="16" t="s">
        <v>22</v>
      </c>
      <c r="E4" s="16" t="s">
        <v>25</v>
      </c>
      <c r="F4" s="16" t="s">
        <v>28</v>
      </c>
      <c r="G4" s="16" t="s">
        <v>38</v>
      </c>
      <c r="I4" s="8" t="s">
        <v>39</v>
      </c>
    </row>
    <row r="5">
      <c r="A5" s="17" t="s">
        <v>17</v>
      </c>
      <c r="B5" s="18">
        <f>Wallet_Deposit!E4</f>
        <v>8</v>
      </c>
      <c r="C5" s="18">
        <f>Wallet_Deposit!E5</f>
        <v>0</v>
      </c>
      <c r="D5" s="18">
        <f>Wallet_Deposit!E6</f>
        <v>0</v>
      </c>
      <c r="E5" s="18">
        <f>Wallet_Deposit!H5</f>
        <v>0</v>
      </c>
      <c r="F5" s="18">
        <f>Wallet_Deposit!H6</f>
        <v>8</v>
      </c>
      <c r="G5" s="19">
        <f>Wallet_Deposit!H4</f>
        <v>0</v>
      </c>
      <c r="I5" s="20" t="s">
        <v>19</v>
      </c>
      <c r="J5" s="18">
        <f>C11</f>
        <v>0</v>
      </c>
    </row>
    <row r="6">
      <c r="A6" s="17" t="s">
        <v>20</v>
      </c>
      <c r="B6" s="18">
        <f>Wallet_Withdrawal!E4</f>
        <v>8</v>
      </c>
      <c r="C6" s="18">
        <f>Wallet_Withdrawal!E5</f>
        <v>0</v>
      </c>
      <c r="D6" s="18">
        <f>Wallet_Withdrawal!E6</f>
        <v>0</v>
      </c>
      <c r="E6" s="18">
        <f>Wallet_Withdrawal!H5</f>
        <v>0</v>
      </c>
      <c r="F6" s="18">
        <f>Wallet_Withdrawal!H6</f>
        <v>8</v>
      </c>
      <c r="G6" s="19">
        <f>Wallet_Withdrawal!H4</f>
        <v>0</v>
      </c>
      <c r="I6" s="21" t="s">
        <v>22</v>
      </c>
      <c r="J6" s="18">
        <f>D11</f>
        <v>0</v>
      </c>
    </row>
    <row r="7">
      <c r="A7" s="17" t="s">
        <v>23</v>
      </c>
      <c r="B7" s="18">
        <f>Spot_Trading!E4</f>
        <v>8</v>
      </c>
      <c r="C7" s="18">
        <f>Spot_Trading!E5</f>
        <v>0</v>
      </c>
      <c r="D7" s="18">
        <f>Spot_Trading!E6</f>
        <v>0</v>
      </c>
      <c r="E7" s="18">
        <f>Spot_Trading!H5</f>
        <v>0</v>
      </c>
      <c r="F7" s="18">
        <f>Spot_Trading!H6</f>
        <v>8</v>
      </c>
      <c r="G7" s="19">
        <f>Spot_Trading!H4</f>
        <v>0</v>
      </c>
      <c r="I7" s="22" t="s">
        <v>25</v>
      </c>
      <c r="J7" s="18">
        <f>E11</f>
        <v>0</v>
      </c>
    </row>
    <row r="8">
      <c r="A8" s="17" t="s">
        <v>26</v>
      </c>
      <c r="B8" s="18">
        <f>Order_Management!E4</f>
        <v>8</v>
      </c>
      <c r="C8" s="18">
        <f>Order_Management!E5</f>
        <v>0</v>
      </c>
      <c r="D8" s="18">
        <f>Order_Management!E6</f>
        <v>0</v>
      </c>
      <c r="E8" s="18">
        <f>Order_Management!H5</f>
        <v>0</v>
      </c>
      <c r="F8" s="18">
        <f>Order_Management!H6</f>
        <v>8</v>
      </c>
      <c r="G8" s="19">
        <f>Order_Management!H4</f>
        <v>0</v>
      </c>
      <c r="I8" s="5" t="s">
        <v>28</v>
      </c>
      <c r="J8" s="18">
        <f>F11</f>
        <v>48</v>
      </c>
    </row>
    <row r="9">
      <c r="A9" s="17" t="s">
        <v>29</v>
      </c>
      <c r="B9" s="18">
        <f>Security_Auth!E4</f>
        <v>8</v>
      </c>
      <c r="C9" s="18">
        <f>Security_Auth!E5</f>
        <v>0</v>
      </c>
      <c r="D9" s="18">
        <f>Security_Auth!E6</f>
        <v>0</v>
      </c>
      <c r="E9" s="18">
        <f>Security_Auth!H5</f>
        <v>0</v>
      </c>
      <c r="F9" s="18">
        <f>Security_Auth!H6</f>
        <v>8</v>
      </c>
      <c r="G9" s="19">
        <f>Security_Auth!H4</f>
        <v>0</v>
      </c>
    </row>
    <row r="10">
      <c r="A10" s="17" t="s">
        <v>32</v>
      </c>
      <c r="B10" s="18">
        <f>API_Trading!E4</f>
        <v>8</v>
      </c>
      <c r="C10" s="18">
        <f>API_Trading!E5</f>
        <v>0</v>
      </c>
      <c r="D10" s="18">
        <f>API_Trading!E6</f>
        <v>0</v>
      </c>
      <c r="E10" s="18">
        <f>API_Trading!H5</f>
        <v>0</v>
      </c>
      <c r="F10" s="18">
        <f>API_Trading!H6</f>
        <v>8</v>
      </c>
      <c r="G10" s="19">
        <f>API_Trading!H4</f>
        <v>0</v>
      </c>
    </row>
    <row r="11">
      <c r="A11" s="5" t="s">
        <v>40</v>
      </c>
      <c r="B11" s="23">
        <f t="shared" ref="B11:F11" si="1">SUM(B5:B10)</f>
        <v>48</v>
      </c>
      <c r="C11" s="23">
        <f t="shared" si="1"/>
        <v>0</v>
      </c>
      <c r="D11" s="23">
        <f t="shared" si="1"/>
        <v>0</v>
      </c>
      <c r="E11" s="23">
        <f t="shared" si="1"/>
        <v>0</v>
      </c>
      <c r="F11" s="23">
        <f t="shared" si="1"/>
        <v>48</v>
      </c>
      <c r="G11" s="24">
        <f>IF(B11=0,0,C11/B11)</f>
        <v>0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J1"/>
    <mergeCell ref="A2:J2"/>
  </mergeCell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12.0"/>
    <col customWidth="1" min="2" max="2" width="35.0"/>
    <col customWidth="1" min="3" max="3" width="28.0"/>
    <col customWidth="1" min="4" max="4" width="12.0"/>
    <col customWidth="1" min="5" max="5" width="34.0"/>
    <col customWidth="1" min="6" max="6" width="24.0"/>
    <col customWidth="1" min="7" max="8" width="40.0"/>
    <col customWidth="1" min="9" max="9" width="16.0"/>
    <col customWidth="1" min="10" max="10" width="28.0"/>
    <col customWidth="1" min="11" max="11" width="14.0"/>
    <col customWidth="1" min="12" max="12" width="13.0"/>
    <col customWidth="1" min="13" max="15" width="14.0"/>
    <col customWidth="1" min="16" max="16" width="24.0"/>
    <col customWidth="1" min="17" max="26" width="8.71"/>
  </cols>
  <sheetData>
    <row r="1" ht="24.0" customHeight="1">
      <c r="A1" s="1" t="s">
        <v>41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3"/>
    </row>
    <row r="2" ht="19.5" customHeight="1">
      <c r="A2" s="4" t="s">
        <v>42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3"/>
    </row>
    <row r="4">
      <c r="A4" s="25" t="s">
        <v>36</v>
      </c>
      <c r="B4" s="26" t="s">
        <v>17</v>
      </c>
      <c r="D4" s="27" t="s">
        <v>43</v>
      </c>
      <c r="E4" s="28">
        <f>COUNTA($A$12:$A$200)</f>
        <v>8</v>
      </c>
      <c r="G4" s="27" t="s">
        <v>38</v>
      </c>
      <c r="H4" s="29">
        <f>IF(E4=0,0,E5/E4)</f>
        <v>0</v>
      </c>
    </row>
    <row r="5">
      <c r="A5" s="25" t="s">
        <v>44</v>
      </c>
      <c r="B5" s="26" t="s">
        <v>45</v>
      </c>
      <c r="D5" s="27" t="s">
        <v>19</v>
      </c>
      <c r="E5" s="28">
        <f>COUNTIF($K$12:$K$200,"Pass")</f>
        <v>0</v>
      </c>
      <c r="G5" s="27" t="s">
        <v>25</v>
      </c>
      <c r="H5" s="28">
        <f>COUNTIF($K$12:$K$200,"Blocked")</f>
        <v>0</v>
      </c>
    </row>
    <row r="6">
      <c r="A6" s="25" t="s">
        <v>46</v>
      </c>
      <c r="B6" s="26" t="s">
        <v>47</v>
      </c>
      <c r="D6" s="27" t="s">
        <v>22</v>
      </c>
      <c r="E6" s="28">
        <f>COUNTIF($K$12:$K$200,"Fail")</f>
        <v>0</v>
      </c>
      <c r="G6" s="27" t="s">
        <v>28</v>
      </c>
      <c r="H6" s="28">
        <f>COUNTIF($K$12:$K$200,"Not Run")</f>
        <v>8</v>
      </c>
    </row>
    <row r="8">
      <c r="A8" s="30" t="s">
        <v>48</v>
      </c>
      <c r="B8" s="31" t="s">
        <v>49</v>
      </c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3"/>
    </row>
    <row r="10" ht="30.0" customHeight="1">
      <c r="A10" s="34" t="s">
        <v>50</v>
      </c>
      <c r="B10" s="34" t="s">
        <v>51</v>
      </c>
      <c r="C10" s="34" t="s">
        <v>52</v>
      </c>
      <c r="D10" s="34" t="s">
        <v>53</v>
      </c>
      <c r="E10" s="34" t="s">
        <v>54</v>
      </c>
      <c r="F10" s="34" t="s">
        <v>55</v>
      </c>
      <c r="G10" s="34" t="s">
        <v>56</v>
      </c>
      <c r="H10" s="34" t="s">
        <v>57</v>
      </c>
      <c r="I10" s="34" t="s">
        <v>58</v>
      </c>
      <c r="J10" s="34" t="s">
        <v>59</v>
      </c>
      <c r="K10" s="34" t="s">
        <v>60</v>
      </c>
      <c r="L10" s="34" t="s">
        <v>61</v>
      </c>
      <c r="M10" s="34" t="s">
        <v>62</v>
      </c>
      <c r="N10" s="34" t="s">
        <v>63</v>
      </c>
      <c r="O10" s="34" t="s">
        <v>64</v>
      </c>
      <c r="P10" s="34" t="s">
        <v>65</v>
      </c>
    </row>
    <row r="11">
      <c r="A11" s="35"/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</row>
    <row r="12" ht="48.0" customHeight="1">
      <c r="A12" s="36" t="s">
        <v>66</v>
      </c>
      <c r="B12" s="37" t="s">
        <v>67</v>
      </c>
      <c r="C12" s="37" t="s">
        <v>67</v>
      </c>
      <c r="D12" s="38" t="s">
        <v>68</v>
      </c>
      <c r="E12" s="39" t="s">
        <v>69</v>
      </c>
      <c r="F12" s="39" t="s">
        <v>70</v>
      </c>
      <c r="G12" s="37" t="s">
        <v>71</v>
      </c>
      <c r="H12" s="37" t="s">
        <v>72</v>
      </c>
      <c r="I12" s="38" t="s">
        <v>28</v>
      </c>
      <c r="J12" s="37" t="s">
        <v>73</v>
      </c>
      <c r="K12" s="38" t="s">
        <v>28</v>
      </c>
      <c r="L12" s="37" t="s">
        <v>73</v>
      </c>
      <c r="M12" s="39" t="s">
        <v>73</v>
      </c>
      <c r="N12" s="40" t="s">
        <v>73</v>
      </c>
      <c r="O12" s="39" t="s">
        <v>74</v>
      </c>
      <c r="P12" s="39" t="s">
        <v>73</v>
      </c>
    </row>
    <row r="13" ht="48.0" customHeight="1">
      <c r="A13" s="36" t="s">
        <v>75</v>
      </c>
      <c r="B13" s="37" t="s">
        <v>76</v>
      </c>
      <c r="C13" s="37" t="s">
        <v>76</v>
      </c>
      <c r="D13" s="38" t="s">
        <v>68</v>
      </c>
      <c r="E13" s="39" t="s">
        <v>77</v>
      </c>
      <c r="F13" s="39" t="s">
        <v>78</v>
      </c>
      <c r="G13" s="37" t="s">
        <v>79</v>
      </c>
      <c r="H13" s="37" t="s">
        <v>80</v>
      </c>
      <c r="I13" s="38" t="s">
        <v>28</v>
      </c>
      <c r="J13" s="37" t="s">
        <v>73</v>
      </c>
      <c r="K13" s="38" t="s">
        <v>28</v>
      </c>
      <c r="L13" s="37" t="s">
        <v>73</v>
      </c>
      <c r="M13" s="39" t="s">
        <v>73</v>
      </c>
      <c r="N13" s="40" t="s">
        <v>73</v>
      </c>
      <c r="O13" s="39" t="s">
        <v>74</v>
      </c>
      <c r="P13" s="39" t="s">
        <v>73</v>
      </c>
    </row>
    <row r="14" ht="48.0" customHeight="1">
      <c r="A14" s="36" t="s">
        <v>81</v>
      </c>
      <c r="B14" s="37" t="s">
        <v>82</v>
      </c>
      <c r="C14" s="37" t="s">
        <v>82</v>
      </c>
      <c r="D14" s="38" t="s">
        <v>83</v>
      </c>
      <c r="E14" s="39" t="s">
        <v>84</v>
      </c>
      <c r="F14" s="39" t="s">
        <v>85</v>
      </c>
      <c r="G14" s="37" t="s">
        <v>86</v>
      </c>
      <c r="H14" s="37" t="s">
        <v>87</v>
      </c>
      <c r="I14" s="38" t="s">
        <v>28</v>
      </c>
      <c r="J14" s="37" t="s">
        <v>73</v>
      </c>
      <c r="K14" s="38" t="s">
        <v>28</v>
      </c>
      <c r="L14" s="37" t="s">
        <v>73</v>
      </c>
      <c r="M14" s="39" t="s">
        <v>73</v>
      </c>
      <c r="N14" s="40" t="s">
        <v>73</v>
      </c>
      <c r="O14" s="39" t="s">
        <v>74</v>
      </c>
      <c r="P14" s="39" t="s">
        <v>73</v>
      </c>
    </row>
    <row r="15" ht="48.0" customHeight="1">
      <c r="A15" s="36" t="s">
        <v>88</v>
      </c>
      <c r="B15" s="37" t="s">
        <v>89</v>
      </c>
      <c r="C15" s="37" t="s">
        <v>89</v>
      </c>
      <c r="D15" s="38" t="s">
        <v>68</v>
      </c>
      <c r="E15" s="39" t="s">
        <v>90</v>
      </c>
      <c r="F15" s="39" t="s">
        <v>91</v>
      </c>
      <c r="G15" s="37" t="s">
        <v>92</v>
      </c>
      <c r="H15" s="37" t="s">
        <v>93</v>
      </c>
      <c r="I15" s="38" t="s">
        <v>28</v>
      </c>
      <c r="J15" s="37" t="s">
        <v>73</v>
      </c>
      <c r="K15" s="38" t="s">
        <v>28</v>
      </c>
      <c r="L15" s="37" t="s">
        <v>73</v>
      </c>
      <c r="M15" s="39" t="s">
        <v>73</v>
      </c>
      <c r="N15" s="40" t="s">
        <v>73</v>
      </c>
      <c r="O15" s="39" t="s">
        <v>74</v>
      </c>
      <c r="P15" s="39" t="s">
        <v>73</v>
      </c>
    </row>
    <row r="16" ht="48.0" customHeight="1">
      <c r="A16" s="36" t="s">
        <v>94</v>
      </c>
      <c r="B16" s="37" t="s">
        <v>95</v>
      </c>
      <c r="C16" s="37" t="s">
        <v>95</v>
      </c>
      <c r="D16" s="38" t="s">
        <v>68</v>
      </c>
      <c r="E16" s="39" t="s">
        <v>96</v>
      </c>
      <c r="F16" s="39" t="s">
        <v>97</v>
      </c>
      <c r="G16" s="37" t="s">
        <v>98</v>
      </c>
      <c r="H16" s="37" t="s">
        <v>99</v>
      </c>
      <c r="I16" s="38" t="s">
        <v>28</v>
      </c>
      <c r="J16" s="37" t="s">
        <v>73</v>
      </c>
      <c r="K16" s="38" t="s">
        <v>28</v>
      </c>
      <c r="L16" s="37" t="s">
        <v>73</v>
      </c>
      <c r="M16" s="39" t="s">
        <v>73</v>
      </c>
      <c r="N16" s="40" t="s">
        <v>73</v>
      </c>
      <c r="O16" s="39" t="s">
        <v>74</v>
      </c>
      <c r="P16" s="39" t="s">
        <v>73</v>
      </c>
    </row>
    <row r="17" ht="48.0" customHeight="1">
      <c r="A17" s="36" t="s">
        <v>100</v>
      </c>
      <c r="B17" s="37" t="s">
        <v>101</v>
      </c>
      <c r="C17" s="37" t="s">
        <v>101</v>
      </c>
      <c r="D17" s="38" t="s">
        <v>102</v>
      </c>
      <c r="E17" s="39" t="s">
        <v>103</v>
      </c>
      <c r="F17" s="39" t="s">
        <v>104</v>
      </c>
      <c r="G17" s="37" t="s">
        <v>105</v>
      </c>
      <c r="H17" s="37" t="s">
        <v>106</v>
      </c>
      <c r="I17" s="38" t="s">
        <v>28</v>
      </c>
      <c r="J17" s="37" t="s">
        <v>73</v>
      </c>
      <c r="K17" s="38" t="s">
        <v>28</v>
      </c>
      <c r="L17" s="37" t="s">
        <v>73</v>
      </c>
      <c r="M17" s="39" t="s">
        <v>73</v>
      </c>
      <c r="N17" s="40" t="s">
        <v>73</v>
      </c>
      <c r="O17" s="39" t="s">
        <v>74</v>
      </c>
      <c r="P17" s="39" t="s">
        <v>73</v>
      </c>
    </row>
    <row r="18" ht="48.0" customHeight="1">
      <c r="A18" s="36" t="s">
        <v>107</v>
      </c>
      <c r="B18" s="37" t="s">
        <v>108</v>
      </c>
      <c r="C18" s="37" t="s">
        <v>108</v>
      </c>
      <c r="D18" s="38" t="s">
        <v>68</v>
      </c>
      <c r="E18" s="39" t="s">
        <v>109</v>
      </c>
      <c r="F18" s="39" t="s">
        <v>110</v>
      </c>
      <c r="G18" s="37" t="s">
        <v>111</v>
      </c>
      <c r="H18" s="37" t="s">
        <v>112</v>
      </c>
      <c r="I18" s="38" t="s">
        <v>28</v>
      </c>
      <c r="J18" s="37" t="s">
        <v>73</v>
      </c>
      <c r="K18" s="38" t="s">
        <v>28</v>
      </c>
      <c r="L18" s="37" t="s">
        <v>73</v>
      </c>
      <c r="M18" s="39" t="s">
        <v>73</v>
      </c>
      <c r="N18" s="40" t="s">
        <v>73</v>
      </c>
      <c r="O18" s="39" t="s">
        <v>74</v>
      </c>
      <c r="P18" s="39" t="s">
        <v>73</v>
      </c>
    </row>
    <row r="19" ht="48.0" customHeight="1">
      <c r="A19" s="36" t="s">
        <v>113</v>
      </c>
      <c r="B19" s="37" t="s">
        <v>114</v>
      </c>
      <c r="C19" s="37" t="s">
        <v>114</v>
      </c>
      <c r="D19" s="38" t="s">
        <v>83</v>
      </c>
      <c r="E19" s="39" t="s">
        <v>115</v>
      </c>
      <c r="F19" s="39" t="s">
        <v>116</v>
      </c>
      <c r="G19" s="37" t="s">
        <v>117</v>
      </c>
      <c r="H19" s="37" t="s">
        <v>118</v>
      </c>
      <c r="I19" s="38" t="s">
        <v>28</v>
      </c>
      <c r="J19" s="37" t="s">
        <v>73</v>
      </c>
      <c r="K19" s="38" t="s">
        <v>28</v>
      </c>
      <c r="L19" s="37" t="s">
        <v>73</v>
      </c>
      <c r="M19" s="39" t="s">
        <v>73</v>
      </c>
      <c r="N19" s="40" t="s">
        <v>73</v>
      </c>
      <c r="O19" s="39" t="s">
        <v>74</v>
      </c>
      <c r="P19" s="39" t="s">
        <v>73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">
    <mergeCell ref="A1:P1"/>
    <mergeCell ref="A2:P2"/>
    <mergeCell ref="B8:P8"/>
  </mergeCells>
  <conditionalFormatting sqref="K12:K19">
    <cfRule type="expression" dxfId="4" priority="1">
      <formula>EXACT(K12,"Pass")</formula>
    </cfRule>
  </conditionalFormatting>
  <conditionalFormatting sqref="K12">
    <cfRule type="expression" dxfId="4" priority="2">
      <formula>EXACT($K12,"Pass")</formula>
    </cfRule>
  </conditionalFormatting>
  <conditionalFormatting sqref="K12">
    <cfRule type="expression" dxfId="5" priority="3">
      <formula>EXACT($K12,"Fail")</formula>
    </cfRule>
  </conditionalFormatting>
  <conditionalFormatting sqref="K12">
    <cfRule type="expression" dxfId="6" priority="4">
      <formula>EXACT($K12,"Blocked")</formula>
    </cfRule>
  </conditionalFormatting>
  <conditionalFormatting sqref="K12">
    <cfRule type="expression" dxfId="7" priority="5">
      <formula>EXACT($K12,"Not Run")</formula>
    </cfRule>
  </conditionalFormatting>
  <conditionalFormatting sqref="I12">
    <cfRule type="expression" dxfId="4" priority="6">
      <formula>EXACT($I12,"Executed")</formula>
    </cfRule>
  </conditionalFormatting>
  <conditionalFormatting sqref="I12">
    <cfRule type="expression" dxfId="8" priority="7">
      <formula>EXACT($I12,"In Progress")</formula>
    </cfRule>
  </conditionalFormatting>
  <conditionalFormatting sqref="I12">
    <cfRule type="expression" dxfId="6" priority="8">
      <formula>EXACT($I12,"Blocked")</formula>
    </cfRule>
  </conditionalFormatting>
  <conditionalFormatting sqref="I12">
    <cfRule type="expression" dxfId="9" priority="9">
      <formula>EXACT($I12,"Retest")</formula>
    </cfRule>
  </conditionalFormatting>
  <conditionalFormatting sqref="I12">
    <cfRule type="expression" dxfId="7" priority="10">
      <formula>EXACT($I12,"Not Run")</formula>
    </cfRule>
  </conditionalFormatting>
  <conditionalFormatting sqref="K13">
    <cfRule type="expression" dxfId="4" priority="11">
      <formula>EXACT($K13,"Pass")</formula>
    </cfRule>
  </conditionalFormatting>
  <conditionalFormatting sqref="K13">
    <cfRule type="expression" dxfId="5" priority="12">
      <formula>EXACT($K13,"Fail")</formula>
    </cfRule>
  </conditionalFormatting>
  <conditionalFormatting sqref="K13">
    <cfRule type="expression" dxfId="6" priority="13">
      <formula>EXACT($K13,"Blocked")</formula>
    </cfRule>
  </conditionalFormatting>
  <conditionalFormatting sqref="K13">
    <cfRule type="expression" dxfId="7" priority="14">
      <formula>EXACT($K13,"Not Run")</formula>
    </cfRule>
  </conditionalFormatting>
  <conditionalFormatting sqref="I13">
    <cfRule type="expression" dxfId="4" priority="15">
      <formula>EXACT($I13,"Executed")</formula>
    </cfRule>
  </conditionalFormatting>
  <conditionalFormatting sqref="I13">
    <cfRule type="expression" dxfId="8" priority="16">
      <formula>EXACT($I13,"In Progress")</formula>
    </cfRule>
  </conditionalFormatting>
  <conditionalFormatting sqref="I13">
    <cfRule type="expression" dxfId="6" priority="17">
      <formula>EXACT($I13,"Blocked")</formula>
    </cfRule>
  </conditionalFormatting>
  <conditionalFormatting sqref="I13">
    <cfRule type="expression" dxfId="9" priority="18">
      <formula>EXACT($I13,"Retest")</formula>
    </cfRule>
  </conditionalFormatting>
  <conditionalFormatting sqref="I13">
    <cfRule type="expression" dxfId="7" priority="19">
      <formula>EXACT($I13,"Not Run")</formula>
    </cfRule>
  </conditionalFormatting>
  <conditionalFormatting sqref="K14">
    <cfRule type="expression" dxfId="4" priority="20">
      <formula>EXACT($K14,"Pass")</formula>
    </cfRule>
  </conditionalFormatting>
  <conditionalFormatting sqref="K14">
    <cfRule type="expression" dxfId="5" priority="21">
      <formula>EXACT($K14,"Fail")</formula>
    </cfRule>
  </conditionalFormatting>
  <conditionalFormatting sqref="K14">
    <cfRule type="expression" dxfId="6" priority="22">
      <formula>EXACT($K14,"Blocked")</formula>
    </cfRule>
  </conditionalFormatting>
  <conditionalFormatting sqref="K14">
    <cfRule type="expression" dxfId="7" priority="23">
      <formula>EXACT($K14,"Not Run")</formula>
    </cfRule>
  </conditionalFormatting>
  <conditionalFormatting sqref="I14">
    <cfRule type="expression" dxfId="4" priority="24">
      <formula>EXACT($I14,"Executed")</formula>
    </cfRule>
  </conditionalFormatting>
  <conditionalFormatting sqref="I14">
    <cfRule type="expression" dxfId="8" priority="25">
      <formula>EXACT($I14,"In Progress")</formula>
    </cfRule>
  </conditionalFormatting>
  <conditionalFormatting sqref="I14">
    <cfRule type="expression" dxfId="6" priority="26">
      <formula>EXACT($I14,"Blocked")</formula>
    </cfRule>
  </conditionalFormatting>
  <conditionalFormatting sqref="I14">
    <cfRule type="expression" dxfId="9" priority="27">
      <formula>EXACT($I14,"Retest")</formula>
    </cfRule>
  </conditionalFormatting>
  <conditionalFormatting sqref="I14">
    <cfRule type="expression" dxfId="7" priority="28">
      <formula>EXACT($I14,"Not Run")</formula>
    </cfRule>
  </conditionalFormatting>
  <conditionalFormatting sqref="K15">
    <cfRule type="expression" dxfId="4" priority="29">
      <formula>EXACT($K15,"Pass")</formula>
    </cfRule>
  </conditionalFormatting>
  <conditionalFormatting sqref="K15">
    <cfRule type="expression" dxfId="5" priority="30">
      <formula>EXACT($K15,"Fail")</formula>
    </cfRule>
  </conditionalFormatting>
  <conditionalFormatting sqref="K15">
    <cfRule type="expression" dxfId="6" priority="31">
      <formula>EXACT($K15,"Blocked")</formula>
    </cfRule>
  </conditionalFormatting>
  <conditionalFormatting sqref="K15">
    <cfRule type="expression" dxfId="7" priority="32">
      <formula>EXACT($K15,"Not Run")</formula>
    </cfRule>
  </conditionalFormatting>
  <conditionalFormatting sqref="I15">
    <cfRule type="expression" dxfId="4" priority="33">
      <formula>EXACT($I15,"Executed")</formula>
    </cfRule>
  </conditionalFormatting>
  <conditionalFormatting sqref="I15">
    <cfRule type="expression" dxfId="8" priority="34">
      <formula>EXACT($I15,"In Progress")</formula>
    </cfRule>
  </conditionalFormatting>
  <conditionalFormatting sqref="I15">
    <cfRule type="expression" dxfId="6" priority="35">
      <formula>EXACT($I15,"Blocked")</formula>
    </cfRule>
  </conditionalFormatting>
  <conditionalFormatting sqref="I15">
    <cfRule type="expression" dxfId="9" priority="36">
      <formula>EXACT($I15,"Retest")</formula>
    </cfRule>
  </conditionalFormatting>
  <conditionalFormatting sqref="I15">
    <cfRule type="expression" dxfId="7" priority="37">
      <formula>EXACT($I15,"Not Run")</formula>
    </cfRule>
  </conditionalFormatting>
  <conditionalFormatting sqref="K16">
    <cfRule type="expression" dxfId="4" priority="38">
      <formula>EXACT($K16,"Pass")</formula>
    </cfRule>
  </conditionalFormatting>
  <conditionalFormatting sqref="K16">
    <cfRule type="expression" dxfId="5" priority="39">
      <formula>EXACT($K16,"Fail")</formula>
    </cfRule>
  </conditionalFormatting>
  <conditionalFormatting sqref="K16">
    <cfRule type="expression" dxfId="6" priority="40">
      <formula>EXACT($K16,"Blocked")</formula>
    </cfRule>
  </conditionalFormatting>
  <conditionalFormatting sqref="K16">
    <cfRule type="expression" dxfId="7" priority="41">
      <formula>EXACT($K16,"Not Run")</formula>
    </cfRule>
  </conditionalFormatting>
  <conditionalFormatting sqref="I16">
    <cfRule type="expression" dxfId="4" priority="42">
      <formula>EXACT($I16,"Executed")</formula>
    </cfRule>
  </conditionalFormatting>
  <conditionalFormatting sqref="I16">
    <cfRule type="expression" dxfId="8" priority="43">
      <formula>EXACT($I16,"In Progress")</formula>
    </cfRule>
  </conditionalFormatting>
  <conditionalFormatting sqref="I16">
    <cfRule type="expression" dxfId="6" priority="44">
      <formula>EXACT($I16,"Blocked")</formula>
    </cfRule>
  </conditionalFormatting>
  <conditionalFormatting sqref="I16">
    <cfRule type="expression" dxfId="9" priority="45">
      <formula>EXACT($I16,"Retest")</formula>
    </cfRule>
  </conditionalFormatting>
  <conditionalFormatting sqref="I16">
    <cfRule type="expression" dxfId="7" priority="46">
      <formula>EXACT($I16,"Not Run")</formula>
    </cfRule>
  </conditionalFormatting>
  <conditionalFormatting sqref="K17">
    <cfRule type="expression" dxfId="4" priority="47">
      <formula>EXACT($K17,"Pass")</formula>
    </cfRule>
  </conditionalFormatting>
  <conditionalFormatting sqref="K17">
    <cfRule type="expression" dxfId="5" priority="48">
      <formula>EXACT($K17,"Fail")</formula>
    </cfRule>
  </conditionalFormatting>
  <conditionalFormatting sqref="K17">
    <cfRule type="expression" dxfId="6" priority="49">
      <formula>EXACT($K17,"Blocked")</formula>
    </cfRule>
  </conditionalFormatting>
  <conditionalFormatting sqref="K17">
    <cfRule type="expression" dxfId="7" priority="50">
      <formula>EXACT($K17,"Not Run")</formula>
    </cfRule>
  </conditionalFormatting>
  <conditionalFormatting sqref="I17">
    <cfRule type="expression" dxfId="4" priority="51">
      <formula>EXACT($I17,"Executed")</formula>
    </cfRule>
  </conditionalFormatting>
  <conditionalFormatting sqref="I17">
    <cfRule type="expression" dxfId="8" priority="52">
      <formula>EXACT($I17,"In Progress")</formula>
    </cfRule>
  </conditionalFormatting>
  <conditionalFormatting sqref="I17">
    <cfRule type="expression" dxfId="6" priority="53">
      <formula>EXACT($I17,"Blocked")</formula>
    </cfRule>
  </conditionalFormatting>
  <conditionalFormatting sqref="I17">
    <cfRule type="expression" dxfId="9" priority="54">
      <formula>EXACT($I17,"Retest")</formula>
    </cfRule>
  </conditionalFormatting>
  <conditionalFormatting sqref="I17">
    <cfRule type="expression" dxfId="7" priority="55">
      <formula>EXACT($I17,"Not Run")</formula>
    </cfRule>
  </conditionalFormatting>
  <conditionalFormatting sqref="K18">
    <cfRule type="expression" dxfId="4" priority="56">
      <formula>EXACT($K18,"Pass")</formula>
    </cfRule>
  </conditionalFormatting>
  <conditionalFormatting sqref="K18">
    <cfRule type="expression" dxfId="5" priority="57">
      <formula>EXACT($K18,"Fail")</formula>
    </cfRule>
  </conditionalFormatting>
  <conditionalFormatting sqref="K18">
    <cfRule type="expression" dxfId="6" priority="58">
      <formula>EXACT($K18,"Blocked")</formula>
    </cfRule>
  </conditionalFormatting>
  <conditionalFormatting sqref="K18">
    <cfRule type="expression" dxfId="7" priority="59">
      <formula>EXACT($K18,"Not Run")</formula>
    </cfRule>
  </conditionalFormatting>
  <conditionalFormatting sqref="I18">
    <cfRule type="expression" dxfId="4" priority="60">
      <formula>EXACT($I18,"Executed")</formula>
    </cfRule>
  </conditionalFormatting>
  <conditionalFormatting sqref="I18">
    <cfRule type="expression" dxfId="8" priority="61">
      <formula>EXACT($I18,"In Progress")</formula>
    </cfRule>
  </conditionalFormatting>
  <conditionalFormatting sqref="I18">
    <cfRule type="expression" dxfId="6" priority="62">
      <formula>EXACT($I18,"Blocked")</formula>
    </cfRule>
  </conditionalFormatting>
  <conditionalFormatting sqref="I18">
    <cfRule type="expression" dxfId="9" priority="63">
      <formula>EXACT($I18,"Retest")</formula>
    </cfRule>
  </conditionalFormatting>
  <conditionalFormatting sqref="I18">
    <cfRule type="expression" dxfId="7" priority="64">
      <formula>EXACT($I18,"Not Run")</formula>
    </cfRule>
  </conditionalFormatting>
  <conditionalFormatting sqref="K19">
    <cfRule type="expression" dxfId="4" priority="65">
      <formula>EXACT($K19,"Pass")</formula>
    </cfRule>
  </conditionalFormatting>
  <conditionalFormatting sqref="K19">
    <cfRule type="expression" dxfId="5" priority="66">
      <formula>EXACT($K19,"Fail")</formula>
    </cfRule>
  </conditionalFormatting>
  <conditionalFormatting sqref="K19">
    <cfRule type="expression" dxfId="6" priority="67">
      <formula>EXACT($K19,"Blocked")</formula>
    </cfRule>
  </conditionalFormatting>
  <conditionalFormatting sqref="K19">
    <cfRule type="expression" dxfId="7" priority="68">
      <formula>EXACT($K19,"Not Run")</formula>
    </cfRule>
  </conditionalFormatting>
  <conditionalFormatting sqref="I19">
    <cfRule type="expression" dxfId="4" priority="69">
      <formula>EXACT($I19,"Executed")</formula>
    </cfRule>
  </conditionalFormatting>
  <conditionalFormatting sqref="I19">
    <cfRule type="expression" dxfId="8" priority="70">
      <formula>EXACT($I19,"In Progress")</formula>
    </cfRule>
  </conditionalFormatting>
  <conditionalFormatting sqref="I19">
    <cfRule type="expression" dxfId="6" priority="71">
      <formula>EXACT($I19,"Blocked")</formula>
    </cfRule>
  </conditionalFormatting>
  <conditionalFormatting sqref="I19">
    <cfRule type="expression" dxfId="9" priority="72">
      <formula>EXACT($I19,"Retest")</formula>
    </cfRule>
  </conditionalFormatting>
  <conditionalFormatting sqref="I19">
    <cfRule type="expression" dxfId="7" priority="73">
      <formula>EXACT($I19,"Not Run")</formula>
    </cfRule>
  </conditionalFormatting>
  <conditionalFormatting sqref="D12">
    <cfRule type="expression" dxfId="10" priority="74">
      <formula>EXACT($D12,"Critical")</formula>
    </cfRule>
  </conditionalFormatting>
  <conditionalFormatting sqref="D12">
    <cfRule type="expression" dxfId="11" priority="75">
      <formula>EXACT($D12,"High")</formula>
    </cfRule>
  </conditionalFormatting>
  <conditionalFormatting sqref="D12">
    <cfRule type="expression" dxfId="6" priority="76">
      <formula>EXACT($D12,"Medium")</formula>
    </cfRule>
  </conditionalFormatting>
  <conditionalFormatting sqref="D12">
    <cfRule type="expression" dxfId="12" priority="77">
      <formula>EXACT($D12,"Low")</formula>
    </cfRule>
  </conditionalFormatting>
  <conditionalFormatting sqref="D13">
    <cfRule type="expression" dxfId="10" priority="78">
      <formula>EXACT($D13,"Critical")</formula>
    </cfRule>
  </conditionalFormatting>
  <conditionalFormatting sqref="D13">
    <cfRule type="expression" dxfId="11" priority="79">
      <formula>EXACT($D13,"High")</formula>
    </cfRule>
  </conditionalFormatting>
  <conditionalFormatting sqref="D13">
    <cfRule type="expression" dxfId="6" priority="80">
      <formula>EXACT($D13,"Medium")</formula>
    </cfRule>
  </conditionalFormatting>
  <conditionalFormatting sqref="D13">
    <cfRule type="expression" dxfId="12" priority="81">
      <formula>EXACT($D13,"Low")</formula>
    </cfRule>
  </conditionalFormatting>
  <conditionalFormatting sqref="D14">
    <cfRule type="expression" dxfId="10" priority="82">
      <formula>EXACT($D14,"Critical")</formula>
    </cfRule>
  </conditionalFormatting>
  <conditionalFormatting sqref="D14">
    <cfRule type="expression" dxfId="11" priority="83">
      <formula>EXACT($D14,"High")</formula>
    </cfRule>
  </conditionalFormatting>
  <conditionalFormatting sqref="D14">
    <cfRule type="expression" dxfId="6" priority="84">
      <formula>EXACT($D14,"Medium")</formula>
    </cfRule>
  </conditionalFormatting>
  <conditionalFormatting sqref="D14">
    <cfRule type="expression" dxfId="12" priority="85">
      <formula>EXACT($D14,"Low")</formula>
    </cfRule>
  </conditionalFormatting>
  <conditionalFormatting sqref="D15">
    <cfRule type="expression" dxfId="10" priority="86">
      <formula>EXACT($D15,"Critical")</formula>
    </cfRule>
  </conditionalFormatting>
  <conditionalFormatting sqref="D15">
    <cfRule type="expression" dxfId="11" priority="87">
      <formula>EXACT($D15,"High")</formula>
    </cfRule>
  </conditionalFormatting>
  <conditionalFormatting sqref="D15">
    <cfRule type="expression" dxfId="6" priority="88">
      <formula>EXACT($D15,"Medium")</formula>
    </cfRule>
  </conditionalFormatting>
  <conditionalFormatting sqref="D15">
    <cfRule type="expression" dxfId="12" priority="89">
      <formula>EXACT($D15,"Low")</formula>
    </cfRule>
  </conditionalFormatting>
  <conditionalFormatting sqref="D16">
    <cfRule type="expression" dxfId="10" priority="90">
      <formula>EXACT($D16,"Critical")</formula>
    </cfRule>
  </conditionalFormatting>
  <conditionalFormatting sqref="D16">
    <cfRule type="expression" dxfId="11" priority="91">
      <formula>EXACT($D16,"High")</formula>
    </cfRule>
  </conditionalFormatting>
  <conditionalFormatting sqref="D16">
    <cfRule type="expression" dxfId="6" priority="92">
      <formula>EXACT($D16,"Medium")</formula>
    </cfRule>
  </conditionalFormatting>
  <conditionalFormatting sqref="D16">
    <cfRule type="expression" dxfId="12" priority="93">
      <formula>EXACT($D16,"Low")</formula>
    </cfRule>
  </conditionalFormatting>
  <conditionalFormatting sqref="D17">
    <cfRule type="expression" dxfId="10" priority="94">
      <formula>EXACT($D17,"Critical")</formula>
    </cfRule>
  </conditionalFormatting>
  <conditionalFormatting sqref="D17">
    <cfRule type="expression" dxfId="11" priority="95">
      <formula>EXACT($D17,"High")</formula>
    </cfRule>
  </conditionalFormatting>
  <conditionalFormatting sqref="D17">
    <cfRule type="expression" dxfId="6" priority="96">
      <formula>EXACT($D17,"Medium")</formula>
    </cfRule>
  </conditionalFormatting>
  <conditionalFormatting sqref="D17">
    <cfRule type="expression" dxfId="12" priority="97">
      <formula>EXACT($D17,"Low")</formula>
    </cfRule>
  </conditionalFormatting>
  <conditionalFormatting sqref="D18">
    <cfRule type="expression" dxfId="10" priority="98">
      <formula>EXACT($D18,"Critical")</formula>
    </cfRule>
  </conditionalFormatting>
  <conditionalFormatting sqref="D18">
    <cfRule type="expression" dxfId="11" priority="99">
      <formula>EXACT($D18,"High")</formula>
    </cfRule>
  </conditionalFormatting>
  <conditionalFormatting sqref="D18">
    <cfRule type="expression" dxfId="6" priority="100">
      <formula>EXACT($D18,"Medium")</formula>
    </cfRule>
  </conditionalFormatting>
  <conditionalFormatting sqref="D18">
    <cfRule type="expression" dxfId="12" priority="101">
      <formula>EXACT($D18,"Low")</formula>
    </cfRule>
  </conditionalFormatting>
  <conditionalFormatting sqref="D19">
    <cfRule type="expression" dxfId="10" priority="102">
      <formula>EXACT($D19,"Critical")</formula>
    </cfRule>
  </conditionalFormatting>
  <conditionalFormatting sqref="D19">
    <cfRule type="expression" dxfId="11" priority="103">
      <formula>EXACT($D19,"High")</formula>
    </cfRule>
  </conditionalFormatting>
  <conditionalFormatting sqref="D19">
    <cfRule type="expression" dxfId="6" priority="104">
      <formula>EXACT($D19,"Medium")</formula>
    </cfRule>
  </conditionalFormatting>
  <conditionalFormatting sqref="D19">
    <cfRule type="expression" dxfId="12" priority="105">
      <formula>EXACT($D19,"Low")</formula>
    </cfRule>
  </conditionalFormatting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12.0"/>
    <col customWidth="1" min="2" max="2" width="35.0"/>
    <col customWidth="1" min="3" max="3" width="28.0"/>
    <col customWidth="1" min="4" max="4" width="12.0"/>
    <col customWidth="1" min="5" max="5" width="34.0"/>
    <col customWidth="1" min="6" max="6" width="24.0"/>
    <col customWidth="1" min="7" max="8" width="40.0"/>
    <col customWidth="1" min="9" max="9" width="16.0"/>
    <col customWidth="1" min="10" max="10" width="28.0"/>
    <col customWidth="1" min="11" max="11" width="14.0"/>
    <col customWidth="1" min="12" max="12" width="13.0"/>
    <col customWidth="1" min="13" max="15" width="14.0"/>
    <col customWidth="1" min="16" max="16" width="24.0"/>
    <col customWidth="1" min="17" max="26" width="8.71"/>
  </cols>
  <sheetData>
    <row r="1" ht="24.0" customHeight="1">
      <c r="A1" s="1" t="s">
        <v>119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3"/>
    </row>
    <row r="2" ht="19.5" customHeight="1">
      <c r="A2" s="4" t="s">
        <v>42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3"/>
    </row>
    <row r="4">
      <c r="A4" s="25" t="s">
        <v>36</v>
      </c>
      <c r="B4" s="26" t="s">
        <v>20</v>
      </c>
      <c r="D4" s="27" t="s">
        <v>43</v>
      </c>
      <c r="E4" s="28">
        <f>COUNTA($A$12:$A$200)</f>
        <v>8</v>
      </c>
      <c r="G4" s="27" t="s">
        <v>38</v>
      </c>
      <c r="H4" s="29">
        <f>IF(E4=0,0,E5/E4)</f>
        <v>0</v>
      </c>
    </row>
    <row r="5">
      <c r="A5" s="25" t="s">
        <v>44</v>
      </c>
      <c r="B5" s="26" t="s">
        <v>45</v>
      </c>
      <c r="D5" s="27" t="s">
        <v>19</v>
      </c>
      <c r="E5" s="28">
        <f>COUNTIF($K$12:$K$200,"Pass")</f>
        <v>0</v>
      </c>
      <c r="G5" s="27" t="s">
        <v>25</v>
      </c>
      <c r="H5" s="28">
        <f>COUNTIF($K$12:$K$200,"Blocked")</f>
        <v>0</v>
      </c>
    </row>
    <row r="6">
      <c r="A6" s="25" t="s">
        <v>46</v>
      </c>
      <c r="B6" s="26" t="s">
        <v>47</v>
      </c>
      <c r="D6" s="27" t="s">
        <v>22</v>
      </c>
      <c r="E6" s="28">
        <f>COUNTIF($K$12:$K$200,"Fail")</f>
        <v>0</v>
      </c>
      <c r="G6" s="27" t="s">
        <v>28</v>
      </c>
      <c r="H6" s="28">
        <f>COUNTIF($K$12:$K$200,"Not Run")</f>
        <v>8</v>
      </c>
    </row>
    <row r="8">
      <c r="A8" s="30" t="s">
        <v>48</v>
      </c>
      <c r="B8" s="31" t="s">
        <v>49</v>
      </c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3"/>
    </row>
    <row r="10" ht="30.0" customHeight="1">
      <c r="A10" s="34" t="s">
        <v>50</v>
      </c>
      <c r="B10" s="34" t="s">
        <v>51</v>
      </c>
      <c r="C10" s="34" t="s">
        <v>52</v>
      </c>
      <c r="D10" s="34" t="s">
        <v>53</v>
      </c>
      <c r="E10" s="34" t="s">
        <v>54</v>
      </c>
      <c r="F10" s="34" t="s">
        <v>55</v>
      </c>
      <c r="G10" s="34" t="s">
        <v>56</v>
      </c>
      <c r="H10" s="34" t="s">
        <v>57</v>
      </c>
      <c r="I10" s="34" t="s">
        <v>58</v>
      </c>
      <c r="J10" s="34" t="s">
        <v>59</v>
      </c>
      <c r="K10" s="34" t="s">
        <v>60</v>
      </c>
      <c r="L10" s="34" t="s">
        <v>61</v>
      </c>
      <c r="M10" s="34" t="s">
        <v>62</v>
      </c>
      <c r="N10" s="34" t="s">
        <v>63</v>
      </c>
      <c r="O10" s="34" t="s">
        <v>64</v>
      </c>
      <c r="P10" s="34" t="s">
        <v>65</v>
      </c>
    </row>
    <row r="11">
      <c r="A11" s="35"/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</row>
    <row r="12" ht="48.0" customHeight="1">
      <c r="A12" s="36" t="s">
        <v>120</v>
      </c>
      <c r="B12" s="37" t="s">
        <v>121</v>
      </c>
      <c r="C12" s="37" t="s">
        <v>121</v>
      </c>
      <c r="D12" s="38" t="s">
        <v>102</v>
      </c>
      <c r="E12" s="39" t="s">
        <v>122</v>
      </c>
      <c r="F12" s="39" t="s">
        <v>123</v>
      </c>
      <c r="G12" s="37" t="s">
        <v>124</v>
      </c>
      <c r="H12" s="37" t="s">
        <v>125</v>
      </c>
      <c r="I12" s="38" t="s">
        <v>28</v>
      </c>
      <c r="J12" s="37" t="s">
        <v>73</v>
      </c>
      <c r="K12" s="38" t="s">
        <v>28</v>
      </c>
      <c r="L12" s="37" t="s">
        <v>73</v>
      </c>
      <c r="M12" s="39" t="s">
        <v>73</v>
      </c>
      <c r="N12" s="40" t="s">
        <v>73</v>
      </c>
      <c r="O12" s="39" t="s">
        <v>74</v>
      </c>
      <c r="P12" s="39" t="s">
        <v>73</v>
      </c>
    </row>
    <row r="13" ht="48.0" customHeight="1">
      <c r="A13" s="36" t="s">
        <v>126</v>
      </c>
      <c r="B13" s="37" t="s">
        <v>127</v>
      </c>
      <c r="C13" s="37" t="s">
        <v>127</v>
      </c>
      <c r="D13" s="38" t="s">
        <v>68</v>
      </c>
      <c r="E13" s="39" t="s">
        <v>128</v>
      </c>
      <c r="F13" s="39" t="s">
        <v>129</v>
      </c>
      <c r="G13" s="37" t="s">
        <v>130</v>
      </c>
      <c r="H13" s="37" t="s">
        <v>131</v>
      </c>
      <c r="I13" s="38" t="s">
        <v>28</v>
      </c>
      <c r="J13" s="37" t="s">
        <v>73</v>
      </c>
      <c r="K13" s="38" t="s">
        <v>28</v>
      </c>
      <c r="L13" s="37" t="s">
        <v>73</v>
      </c>
      <c r="M13" s="39" t="s">
        <v>73</v>
      </c>
      <c r="N13" s="40" t="s">
        <v>73</v>
      </c>
      <c r="O13" s="39" t="s">
        <v>74</v>
      </c>
      <c r="P13" s="39" t="s">
        <v>73</v>
      </c>
    </row>
    <row r="14" ht="48.0" customHeight="1">
      <c r="A14" s="36" t="s">
        <v>132</v>
      </c>
      <c r="B14" s="37" t="s">
        <v>133</v>
      </c>
      <c r="C14" s="37" t="s">
        <v>133</v>
      </c>
      <c r="D14" s="38" t="s">
        <v>68</v>
      </c>
      <c r="E14" s="39" t="s">
        <v>134</v>
      </c>
      <c r="F14" s="39" t="s">
        <v>135</v>
      </c>
      <c r="G14" s="37" t="s">
        <v>136</v>
      </c>
      <c r="H14" s="37" t="s">
        <v>137</v>
      </c>
      <c r="I14" s="38" t="s">
        <v>28</v>
      </c>
      <c r="J14" s="37" t="s">
        <v>73</v>
      </c>
      <c r="K14" s="38" t="s">
        <v>28</v>
      </c>
      <c r="L14" s="37" t="s">
        <v>73</v>
      </c>
      <c r="M14" s="39" t="s">
        <v>73</v>
      </c>
      <c r="N14" s="40" t="s">
        <v>73</v>
      </c>
      <c r="O14" s="39" t="s">
        <v>74</v>
      </c>
      <c r="P14" s="39" t="s">
        <v>73</v>
      </c>
    </row>
    <row r="15" ht="48.0" customHeight="1">
      <c r="A15" s="36" t="s">
        <v>138</v>
      </c>
      <c r="B15" s="37" t="s">
        <v>139</v>
      </c>
      <c r="C15" s="37" t="s">
        <v>139</v>
      </c>
      <c r="D15" s="38" t="s">
        <v>102</v>
      </c>
      <c r="E15" s="39" t="s">
        <v>140</v>
      </c>
      <c r="F15" s="39" t="s">
        <v>85</v>
      </c>
      <c r="G15" s="37" t="s">
        <v>141</v>
      </c>
      <c r="H15" s="37" t="s">
        <v>142</v>
      </c>
      <c r="I15" s="38" t="s">
        <v>28</v>
      </c>
      <c r="J15" s="37" t="s">
        <v>73</v>
      </c>
      <c r="K15" s="38" t="s">
        <v>28</v>
      </c>
      <c r="L15" s="37" t="s">
        <v>73</v>
      </c>
      <c r="M15" s="39" t="s">
        <v>73</v>
      </c>
      <c r="N15" s="40" t="s">
        <v>73</v>
      </c>
      <c r="O15" s="39" t="s">
        <v>74</v>
      </c>
      <c r="P15" s="39" t="s">
        <v>73</v>
      </c>
    </row>
    <row r="16" ht="48.0" customHeight="1">
      <c r="A16" s="36" t="s">
        <v>143</v>
      </c>
      <c r="B16" s="37" t="s">
        <v>144</v>
      </c>
      <c r="C16" s="37" t="s">
        <v>144</v>
      </c>
      <c r="D16" s="38" t="s">
        <v>68</v>
      </c>
      <c r="E16" s="39" t="s">
        <v>145</v>
      </c>
      <c r="F16" s="39" t="s">
        <v>146</v>
      </c>
      <c r="G16" s="37" t="s">
        <v>147</v>
      </c>
      <c r="H16" s="37" t="s">
        <v>148</v>
      </c>
      <c r="I16" s="38" t="s">
        <v>28</v>
      </c>
      <c r="J16" s="37" t="s">
        <v>73</v>
      </c>
      <c r="K16" s="38" t="s">
        <v>28</v>
      </c>
      <c r="L16" s="37" t="s">
        <v>73</v>
      </c>
      <c r="M16" s="39" t="s">
        <v>73</v>
      </c>
      <c r="N16" s="40" t="s">
        <v>73</v>
      </c>
      <c r="O16" s="39" t="s">
        <v>74</v>
      </c>
      <c r="P16" s="39" t="s">
        <v>73</v>
      </c>
    </row>
    <row r="17" ht="48.0" customHeight="1">
      <c r="A17" s="36" t="s">
        <v>149</v>
      </c>
      <c r="B17" s="37" t="s">
        <v>150</v>
      </c>
      <c r="C17" s="37" t="s">
        <v>150</v>
      </c>
      <c r="D17" s="38" t="s">
        <v>68</v>
      </c>
      <c r="E17" s="39" t="s">
        <v>151</v>
      </c>
      <c r="F17" s="39" t="s">
        <v>152</v>
      </c>
      <c r="G17" s="37" t="s">
        <v>153</v>
      </c>
      <c r="H17" s="37" t="s">
        <v>154</v>
      </c>
      <c r="I17" s="38" t="s">
        <v>28</v>
      </c>
      <c r="J17" s="37" t="s">
        <v>73</v>
      </c>
      <c r="K17" s="38" t="s">
        <v>28</v>
      </c>
      <c r="L17" s="37" t="s">
        <v>73</v>
      </c>
      <c r="M17" s="39" t="s">
        <v>73</v>
      </c>
      <c r="N17" s="40" t="s">
        <v>73</v>
      </c>
      <c r="O17" s="39" t="s">
        <v>74</v>
      </c>
      <c r="P17" s="39" t="s">
        <v>73</v>
      </c>
    </row>
    <row r="18" ht="48.0" customHeight="1">
      <c r="A18" s="36" t="s">
        <v>155</v>
      </c>
      <c r="B18" s="37" t="s">
        <v>156</v>
      </c>
      <c r="C18" s="37" t="s">
        <v>156</v>
      </c>
      <c r="D18" s="38" t="s">
        <v>68</v>
      </c>
      <c r="E18" s="39" t="s">
        <v>157</v>
      </c>
      <c r="F18" s="39" t="s">
        <v>158</v>
      </c>
      <c r="G18" s="37" t="s">
        <v>159</v>
      </c>
      <c r="H18" s="37" t="s">
        <v>160</v>
      </c>
      <c r="I18" s="38" t="s">
        <v>28</v>
      </c>
      <c r="J18" s="37" t="s">
        <v>73</v>
      </c>
      <c r="K18" s="38" t="s">
        <v>28</v>
      </c>
      <c r="L18" s="37" t="s">
        <v>73</v>
      </c>
      <c r="M18" s="39" t="s">
        <v>73</v>
      </c>
      <c r="N18" s="40" t="s">
        <v>73</v>
      </c>
      <c r="O18" s="39" t="s">
        <v>74</v>
      </c>
      <c r="P18" s="39" t="s">
        <v>73</v>
      </c>
    </row>
    <row r="19" ht="48.0" customHeight="1">
      <c r="A19" s="36" t="s">
        <v>161</v>
      </c>
      <c r="B19" s="37" t="s">
        <v>162</v>
      </c>
      <c r="C19" s="37" t="s">
        <v>162</v>
      </c>
      <c r="D19" s="38" t="s">
        <v>83</v>
      </c>
      <c r="E19" s="39" t="s">
        <v>163</v>
      </c>
      <c r="F19" s="39" t="s">
        <v>164</v>
      </c>
      <c r="G19" s="37" t="s">
        <v>165</v>
      </c>
      <c r="H19" s="37" t="s">
        <v>166</v>
      </c>
      <c r="I19" s="38" t="s">
        <v>28</v>
      </c>
      <c r="J19" s="37" t="s">
        <v>73</v>
      </c>
      <c r="K19" s="38" t="s">
        <v>28</v>
      </c>
      <c r="L19" s="37" t="s">
        <v>73</v>
      </c>
      <c r="M19" s="39" t="s">
        <v>73</v>
      </c>
      <c r="N19" s="40" t="s">
        <v>73</v>
      </c>
      <c r="O19" s="39" t="s">
        <v>74</v>
      </c>
      <c r="P19" s="39" t="s">
        <v>73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">
    <mergeCell ref="A1:P1"/>
    <mergeCell ref="A2:P2"/>
    <mergeCell ref="B8:P8"/>
  </mergeCells>
  <conditionalFormatting sqref="K12:K19">
    <cfRule type="expression" dxfId="4" priority="1">
      <formula>EXACT(K12,"Pass")</formula>
    </cfRule>
  </conditionalFormatting>
  <conditionalFormatting sqref="K12">
    <cfRule type="expression" dxfId="4" priority="2">
      <formula>EXACT($K12,"Pass")</formula>
    </cfRule>
  </conditionalFormatting>
  <conditionalFormatting sqref="K12">
    <cfRule type="expression" dxfId="5" priority="3">
      <formula>EXACT($K12,"Fail")</formula>
    </cfRule>
  </conditionalFormatting>
  <conditionalFormatting sqref="K12">
    <cfRule type="expression" dxfId="6" priority="4">
      <formula>EXACT($K12,"Blocked")</formula>
    </cfRule>
  </conditionalFormatting>
  <conditionalFormatting sqref="K12">
    <cfRule type="expression" dxfId="7" priority="5">
      <formula>EXACT($K12,"Not Run")</formula>
    </cfRule>
  </conditionalFormatting>
  <conditionalFormatting sqref="I12">
    <cfRule type="expression" dxfId="4" priority="6">
      <formula>EXACT($I12,"Executed")</formula>
    </cfRule>
  </conditionalFormatting>
  <conditionalFormatting sqref="I12">
    <cfRule type="expression" dxfId="8" priority="7">
      <formula>EXACT($I12,"In Progress")</formula>
    </cfRule>
  </conditionalFormatting>
  <conditionalFormatting sqref="I12">
    <cfRule type="expression" dxfId="6" priority="8">
      <formula>EXACT($I12,"Blocked")</formula>
    </cfRule>
  </conditionalFormatting>
  <conditionalFormatting sqref="I12">
    <cfRule type="expression" dxfId="9" priority="9">
      <formula>EXACT($I12,"Retest")</formula>
    </cfRule>
  </conditionalFormatting>
  <conditionalFormatting sqref="I12">
    <cfRule type="expression" dxfId="7" priority="10">
      <formula>EXACT($I12,"Not Run")</formula>
    </cfRule>
  </conditionalFormatting>
  <conditionalFormatting sqref="K13">
    <cfRule type="expression" dxfId="4" priority="11">
      <formula>EXACT($K13,"Pass")</formula>
    </cfRule>
  </conditionalFormatting>
  <conditionalFormatting sqref="K13">
    <cfRule type="expression" dxfId="5" priority="12">
      <formula>EXACT($K13,"Fail")</formula>
    </cfRule>
  </conditionalFormatting>
  <conditionalFormatting sqref="K13">
    <cfRule type="expression" dxfId="6" priority="13">
      <formula>EXACT($K13,"Blocked")</formula>
    </cfRule>
  </conditionalFormatting>
  <conditionalFormatting sqref="K13">
    <cfRule type="expression" dxfId="7" priority="14">
      <formula>EXACT($K13,"Not Run")</formula>
    </cfRule>
  </conditionalFormatting>
  <conditionalFormatting sqref="I13">
    <cfRule type="expression" dxfId="4" priority="15">
      <formula>EXACT($I13,"Executed")</formula>
    </cfRule>
  </conditionalFormatting>
  <conditionalFormatting sqref="I13">
    <cfRule type="expression" dxfId="8" priority="16">
      <formula>EXACT($I13,"In Progress")</formula>
    </cfRule>
  </conditionalFormatting>
  <conditionalFormatting sqref="I13">
    <cfRule type="expression" dxfId="6" priority="17">
      <formula>EXACT($I13,"Blocked")</formula>
    </cfRule>
  </conditionalFormatting>
  <conditionalFormatting sqref="I13">
    <cfRule type="expression" dxfId="9" priority="18">
      <formula>EXACT($I13,"Retest")</formula>
    </cfRule>
  </conditionalFormatting>
  <conditionalFormatting sqref="I13">
    <cfRule type="expression" dxfId="7" priority="19">
      <formula>EXACT($I13,"Not Run")</formula>
    </cfRule>
  </conditionalFormatting>
  <conditionalFormatting sqref="K14">
    <cfRule type="expression" dxfId="4" priority="20">
      <formula>EXACT($K14,"Pass")</formula>
    </cfRule>
  </conditionalFormatting>
  <conditionalFormatting sqref="K14">
    <cfRule type="expression" dxfId="5" priority="21">
      <formula>EXACT($K14,"Fail")</formula>
    </cfRule>
  </conditionalFormatting>
  <conditionalFormatting sqref="K14">
    <cfRule type="expression" dxfId="6" priority="22">
      <formula>EXACT($K14,"Blocked")</formula>
    </cfRule>
  </conditionalFormatting>
  <conditionalFormatting sqref="K14">
    <cfRule type="expression" dxfId="7" priority="23">
      <formula>EXACT($K14,"Not Run")</formula>
    </cfRule>
  </conditionalFormatting>
  <conditionalFormatting sqref="I14">
    <cfRule type="expression" dxfId="4" priority="24">
      <formula>EXACT($I14,"Executed")</formula>
    </cfRule>
  </conditionalFormatting>
  <conditionalFormatting sqref="I14">
    <cfRule type="expression" dxfId="8" priority="25">
      <formula>EXACT($I14,"In Progress")</formula>
    </cfRule>
  </conditionalFormatting>
  <conditionalFormatting sqref="I14">
    <cfRule type="expression" dxfId="6" priority="26">
      <formula>EXACT($I14,"Blocked")</formula>
    </cfRule>
  </conditionalFormatting>
  <conditionalFormatting sqref="I14">
    <cfRule type="expression" dxfId="9" priority="27">
      <formula>EXACT($I14,"Retest")</formula>
    </cfRule>
  </conditionalFormatting>
  <conditionalFormatting sqref="I14">
    <cfRule type="expression" dxfId="7" priority="28">
      <formula>EXACT($I14,"Not Run")</formula>
    </cfRule>
  </conditionalFormatting>
  <conditionalFormatting sqref="K15">
    <cfRule type="expression" dxfId="4" priority="29">
      <formula>EXACT($K15,"Pass")</formula>
    </cfRule>
  </conditionalFormatting>
  <conditionalFormatting sqref="K15">
    <cfRule type="expression" dxfId="5" priority="30">
      <formula>EXACT($K15,"Fail")</formula>
    </cfRule>
  </conditionalFormatting>
  <conditionalFormatting sqref="K15">
    <cfRule type="expression" dxfId="6" priority="31">
      <formula>EXACT($K15,"Blocked")</formula>
    </cfRule>
  </conditionalFormatting>
  <conditionalFormatting sqref="K15">
    <cfRule type="expression" dxfId="7" priority="32">
      <formula>EXACT($K15,"Not Run")</formula>
    </cfRule>
  </conditionalFormatting>
  <conditionalFormatting sqref="I15">
    <cfRule type="expression" dxfId="4" priority="33">
      <formula>EXACT($I15,"Executed")</formula>
    </cfRule>
  </conditionalFormatting>
  <conditionalFormatting sqref="I15">
    <cfRule type="expression" dxfId="8" priority="34">
      <formula>EXACT($I15,"In Progress")</formula>
    </cfRule>
  </conditionalFormatting>
  <conditionalFormatting sqref="I15">
    <cfRule type="expression" dxfId="6" priority="35">
      <formula>EXACT($I15,"Blocked")</formula>
    </cfRule>
  </conditionalFormatting>
  <conditionalFormatting sqref="I15">
    <cfRule type="expression" dxfId="9" priority="36">
      <formula>EXACT($I15,"Retest")</formula>
    </cfRule>
  </conditionalFormatting>
  <conditionalFormatting sqref="I15">
    <cfRule type="expression" dxfId="7" priority="37">
      <formula>EXACT($I15,"Not Run")</formula>
    </cfRule>
  </conditionalFormatting>
  <conditionalFormatting sqref="K16">
    <cfRule type="expression" dxfId="4" priority="38">
      <formula>EXACT($K16,"Pass")</formula>
    </cfRule>
  </conditionalFormatting>
  <conditionalFormatting sqref="K16">
    <cfRule type="expression" dxfId="5" priority="39">
      <formula>EXACT($K16,"Fail")</formula>
    </cfRule>
  </conditionalFormatting>
  <conditionalFormatting sqref="K16">
    <cfRule type="expression" dxfId="6" priority="40">
      <formula>EXACT($K16,"Blocked")</formula>
    </cfRule>
  </conditionalFormatting>
  <conditionalFormatting sqref="K16">
    <cfRule type="expression" dxfId="7" priority="41">
      <formula>EXACT($K16,"Not Run")</formula>
    </cfRule>
  </conditionalFormatting>
  <conditionalFormatting sqref="I16">
    <cfRule type="expression" dxfId="4" priority="42">
      <formula>EXACT($I16,"Executed")</formula>
    </cfRule>
  </conditionalFormatting>
  <conditionalFormatting sqref="I16">
    <cfRule type="expression" dxfId="8" priority="43">
      <formula>EXACT($I16,"In Progress")</formula>
    </cfRule>
  </conditionalFormatting>
  <conditionalFormatting sqref="I16">
    <cfRule type="expression" dxfId="6" priority="44">
      <formula>EXACT($I16,"Blocked")</formula>
    </cfRule>
  </conditionalFormatting>
  <conditionalFormatting sqref="I16">
    <cfRule type="expression" dxfId="9" priority="45">
      <formula>EXACT($I16,"Retest")</formula>
    </cfRule>
  </conditionalFormatting>
  <conditionalFormatting sqref="I16">
    <cfRule type="expression" dxfId="7" priority="46">
      <formula>EXACT($I16,"Not Run")</formula>
    </cfRule>
  </conditionalFormatting>
  <conditionalFormatting sqref="K17">
    <cfRule type="expression" dxfId="4" priority="47">
      <formula>EXACT($K17,"Pass")</formula>
    </cfRule>
  </conditionalFormatting>
  <conditionalFormatting sqref="K17">
    <cfRule type="expression" dxfId="5" priority="48">
      <formula>EXACT($K17,"Fail")</formula>
    </cfRule>
  </conditionalFormatting>
  <conditionalFormatting sqref="K17">
    <cfRule type="expression" dxfId="6" priority="49">
      <formula>EXACT($K17,"Blocked")</formula>
    </cfRule>
  </conditionalFormatting>
  <conditionalFormatting sqref="K17">
    <cfRule type="expression" dxfId="7" priority="50">
      <formula>EXACT($K17,"Not Run")</formula>
    </cfRule>
  </conditionalFormatting>
  <conditionalFormatting sqref="I17">
    <cfRule type="expression" dxfId="4" priority="51">
      <formula>EXACT($I17,"Executed")</formula>
    </cfRule>
  </conditionalFormatting>
  <conditionalFormatting sqref="I17">
    <cfRule type="expression" dxfId="8" priority="52">
      <formula>EXACT($I17,"In Progress")</formula>
    </cfRule>
  </conditionalFormatting>
  <conditionalFormatting sqref="I17">
    <cfRule type="expression" dxfId="6" priority="53">
      <formula>EXACT($I17,"Blocked")</formula>
    </cfRule>
  </conditionalFormatting>
  <conditionalFormatting sqref="I17">
    <cfRule type="expression" dxfId="9" priority="54">
      <formula>EXACT($I17,"Retest")</formula>
    </cfRule>
  </conditionalFormatting>
  <conditionalFormatting sqref="I17">
    <cfRule type="expression" dxfId="7" priority="55">
      <formula>EXACT($I17,"Not Run")</formula>
    </cfRule>
  </conditionalFormatting>
  <conditionalFormatting sqref="K18">
    <cfRule type="expression" dxfId="4" priority="56">
      <formula>EXACT($K18,"Pass")</formula>
    </cfRule>
  </conditionalFormatting>
  <conditionalFormatting sqref="K18">
    <cfRule type="expression" dxfId="5" priority="57">
      <formula>EXACT($K18,"Fail")</formula>
    </cfRule>
  </conditionalFormatting>
  <conditionalFormatting sqref="K18">
    <cfRule type="expression" dxfId="6" priority="58">
      <formula>EXACT($K18,"Blocked")</formula>
    </cfRule>
  </conditionalFormatting>
  <conditionalFormatting sqref="K18">
    <cfRule type="expression" dxfId="7" priority="59">
      <formula>EXACT($K18,"Not Run")</formula>
    </cfRule>
  </conditionalFormatting>
  <conditionalFormatting sqref="I18">
    <cfRule type="expression" dxfId="4" priority="60">
      <formula>EXACT($I18,"Executed")</formula>
    </cfRule>
  </conditionalFormatting>
  <conditionalFormatting sqref="I18">
    <cfRule type="expression" dxfId="8" priority="61">
      <formula>EXACT($I18,"In Progress")</formula>
    </cfRule>
  </conditionalFormatting>
  <conditionalFormatting sqref="I18">
    <cfRule type="expression" dxfId="6" priority="62">
      <formula>EXACT($I18,"Blocked")</formula>
    </cfRule>
  </conditionalFormatting>
  <conditionalFormatting sqref="I18">
    <cfRule type="expression" dxfId="9" priority="63">
      <formula>EXACT($I18,"Retest")</formula>
    </cfRule>
  </conditionalFormatting>
  <conditionalFormatting sqref="I18">
    <cfRule type="expression" dxfId="7" priority="64">
      <formula>EXACT($I18,"Not Run")</formula>
    </cfRule>
  </conditionalFormatting>
  <conditionalFormatting sqref="K19">
    <cfRule type="expression" dxfId="4" priority="65">
      <formula>EXACT($K19,"Pass")</formula>
    </cfRule>
  </conditionalFormatting>
  <conditionalFormatting sqref="K19">
    <cfRule type="expression" dxfId="5" priority="66">
      <formula>EXACT($K19,"Fail")</formula>
    </cfRule>
  </conditionalFormatting>
  <conditionalFormatting sqref="K19">
    <cfRule type="expression" dxfId="6" priority="67">
      <formula>EXACT($K19,"Blocked")</formula>
    </cfRule>
  </conditionalFormatting>
  <conditionalFormatting sqref="K19">
    <cfRule type="expression" dxfId="7" priority="68">
      <formula>EXACT($K19,"Not Run")</formula>
    </cfRule>
  </conditionalFormatting>
  <conditionalFormatting sqref="I19">
    <cfRule type="expression" dxfId="4" priority="69">
      <formula>EXACT($I19,"Executed")</formula>
    </cfRule>
  </conditionalFormatting>
  <conditionalFormatting sqref="I19">
    <cfRule type="expression" dxfId="8" priority="70">
      <formula>EXACT($I19,"In Progress")</formula>
    </cfRule>
  </conditionalFormatting>
  <conditionalFormatting sqref="I19">
    <cfRule type="expression" dxfId="6" priority="71">
      <formula>EXACT($I19,"Blocked")</formula>
    </cfRule>
  </conditionalFormatting>
  <conditionalFormatting sqref="I19">
    <cfRule type="expression" dxfId="9" priority="72">
      <formula>EXACT($I19,"Retest")</formula>
    </cfRule>
  </conditionalFormatting>
  <conditionalFormatting sqref="I19">
    <cfRule type="expression" dxfId="7" priority="73">
      <formula>EXACT($I19,"Not Run")</formula>
    </cfRule>
  </conditionalFormatting>
  <conditionalFormatting sqref="D12">
    <cfRule type="expression" dxfId="10" priority="74">
      <formula>EXACT($D12,"Critical")</formula>
    </cfRule>
  </conditionalFormatting>
  <conditionalFormatting sqref="D12">
    <cfRule type="expression" dxfId="11" priority="75">
      <formula>EXACT($D12,"High")</formula>
    </cfRule>
  </conditionalFormatting>
  <conditionalFormatting sqref="D12">
    <cfRule type="expression" dxfId="6" priority="76">
      <formula>EXACT($D12,"Medium")</formula>
    </cfRule>
  </conditionalFormatting>
  <conditionalFormatting sqref="D12">
    <cfRule type="expression" dxfId="12" priority="77">
      <formula>EXACT($D12,"Low")</formula>
    </cfRule>
  </conditionalFormatting>
  <conditionalFormatting sqref="D13">
    <cfRule type="expression" dxfId="10" priority="78">
      <formula>EXACT($D13,"Critical")</formula>
    </cfRule>
  </conditionalFormatting>
  <conditionalFormatting sqref="D13">
    <cfRule type="expression" dxfId="11" priority="79">
      <formula>EXACT($D13,"High")</formula>
    </cfRule>
  </conditionalFormatting>
  <conditionalFormatting sqref="D13">
    <cfRule type="expression" dxfId="6" priority="80">
      <formula>EXACT($D13,"Medium")</formula>
    </cfRule>
  </conditionalFormatting>
  <conditionalFormatting sqref="D13">
    <cfRule type="expression" dxfId="12" priority="81">
      <formula>EXACT($D13,"Low")</formula>
    </cfRule>
  </conditionalFormatting>
  <conditionalFormatting sqref="D14">
    <cfRule type="expression" dxfId="10" priority="82">
      <formula>EXACT($D14,"Critical")</formula>
    </cfRule>
  </conditionalFormatting>
  <conditionalFormatting sqref="D14">
    <cfRule type="expression" dxfId="11" priority="83">
      <formula>EXACT($D14,"High")</formula>
    </cfRule>
  </conditionalFormatting>
  <conditionalFormatting sqref="D14">
    <cfRule type="expression" dxfId="6" priority="84">
      <formula>EXACT($D14,"Medium")</formula>
    </cfRule>
  </conditionalFormatting>
  <conditionalFormatting sqref="D14">
    <cfRule type="expression" dxfId="12" priority="85">
      <formula>EXACT($D14,"Low")</formula>
    </cfRule>
  </conditionalFormatting>
  <conditionalFormatting sqref="D15">
    <cfRule type="expression" dxfId="10" priority="86">
      <formula>EXACT($D15,"Critical")</formula>
    </cfRule>
  </conditionalFormatting>
  <conditionalFormatting sqref="D15">
    <cfRule type="expression" dxfId="11" priority="87">
      <formula>EXACT($D15,"High")</formula>
    </cfRule>
  </conditionalFormatting>
  <conditionalFormatting sqref="D15">
    <cfRule type="expression" dxfId="6" priority="88">
      <formula>EXACT($D15,"Medium")</formula>
    </cfRule>
  </conditionalFormatting>
  <conditionalFormatting sqref="D15">
    <cfRule type="expression" dxfId="12" priority="89">
      <formula>EXACT($D15,"Low")</formula>
    </cfRule>
  </conditionalFormatting>
  <conditionalFormatting sqref="D16">
    <cfRule type="expression" dxfId="10" priority="90">
      <formula>EXACT($D16,"Critical")</formula>
    </cfRule>
  </conditionalFormatting>
  <conditionalFormatting sqref="D16">
    <cfRule type="expression" dxfId="11" priority="91">
      <formula>EXACT($D16,"High")</formula>
    </cfRule>
  </conditionalFormatting>
  <conditionalFormatting sqref="D16">
    <cfRule type="expression" dxfId="6" priority="92">
      <formula>EXACT($D16,"Medium")</formula>
    </cfRule>
  </conditionalFormatting>
  <conditionalFormatting sqref="D16">
    <cfRule type="expression" dxfId="12" priority="93">
      <formula>EXACT($D16,"Low")</formula>
    </cfRule>
  </conditionalFormatting>
  <conditionalFormatting sqref="D17">
    <cfRule type="expression" dxfId="10" priority="94">
      <formula>EXACT($D17,"Critical")</formula>
    </cfRule>
  </conditionalFormatting>
  <conditionalFormatting sqref="D17">
    <cfRule type="expression" dxfId="11" priority="95">
      <formula>EXACT($D17,"High")</formula>
    </cfRule>
  </conditionalFormatting>
  <conditionalFormatting sqref="D17">
    <cfRule type="expression" dxfId="6" priority="96">
      <formula>EXACT($D17,"Medium")</formula>
    </cfRule>
  </conditionalFormatting>
  <conditionalFormatting sqref="D17">
    <cfRule type="expression" dxfId="12" priority="97">
      <formula>EXACT($D17,"Low")</formula>
    </cfRule>
  </conditionalFormatting>
  <conditionalFormatting sqref="D18">
    <cfRule type="expression" dxfId="10" priority="98">
      <formula>EXACT($D18,"Critical")</formula>
    </cfRule>
  </conditionalFormatting>
  <conditionalFormatting sqref="D18">
    <cfRule type="expression" dxfId="11" priority="99">
      <formula>EXACT($D18,"High")</formula>
    </cfRule>
  </conditionalFormatting>
  <conditionalFormatting sqref="D18">
    <cfRule type="expression" dxfId="6" priority="100">
      <formula>EXACT($D18,"Medium")</formula>
    </cfRule>
  </conditionalFormatting>
  <conditionalFormatting sqref="D18">
    <cfRule type="expression" dxfId="12" priority="101">
      <formula>EXACT($D18,"Low")</formula>
    </cfRule>
  </conditionalFormatting>
  <conditionalFormatting sqref="D19">
    <cfRule type="expression" dxfId="10" priority="102">
      <formula>EXACT($D19,"Critical")</formula>
    </cfRule>
  </conditionalFormatting>
  <conditionalFormatting sqref="D19">
    <cfRule type="expression" dxfId="11" priority="103">
      <formula>EXACT($D19,"High")</formula>
    </cfRule>
  </conditionalFormatting>
  <conditionalFormatting sqref="D19">
    <cfRule type="expression" dxfId="6" priority="104">
      <formula>EXACT($D19,"Medium")</formula>
    </cfRule>
  </conditionalFormatting>
  <conditionalFormatting sqref="D19">
    <cfRule type="expression" dxfId="12" priority="105">
      <formula>EXACT($D19,"Low")</formula>
    </cfRule>
  </conditionalFormatting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12.0"/>
    <col customWidth="1" min="2" max="2" width="35.0"/>
    <col customWidth="1" min="3" max="3" width="28.0"/>
    <col customWidth="1" min="4" max="4" width="12.0"/>
    <col customWidth="1" min="5" max="5" width="34.0"/>
    <col customWidth="1" min="6" max="6" width="24.0"/>
    <col customWidth="1" min="7" max="8" width="40.0"/>
    <col customWidth="1" min="9" max="9" width="16.0"/>
    <col customWidth="1" min="10" max="10" width="28.0"/>
    <col customWidth="1" min="11" max="11" width="14.0"/>
    <col customWidth="1" min="12" max="12" width="13.0"/>
    <col customWidth="1" min="13" max="15" width="14.0"/>
    <col customWidth="1" min="16" max="16" width="24.0"/>
    <col customWidth="1" min="17" max="26" width="8.71"/>
  </cols>
  <sheetData>
    <row r="1" ht="24.0" customHeight="1">
      <c r="A1" s="1" t="s">
        <v>167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3"/>
    </row>
    <row r="2" ht="19.5" customHeight="1">
      <c r="A2" s="4" t="s">
        <v>42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3"/>
    </row>
    <row r="4">
      <c r="A4" s="25" t="s">
        <v>36</v>
      </c>
      <c r="B4" s="26" t="s">
        <v>23</v>
      </c>
      <c r="D4" s="27" t="s">
        <v>43</v>
      </c>
      <c r="E4" s="28">
        <f>COUNTA($A$12:$A$200)</f>
        <v>8</v>
      </c>
      <c r="G4" s="27" t="s">
        <v>38</v>
      </c>
      <c r="H4" s="29">
        <f>IF(E4=0,0,E5/E4)</f>
        <v>0</v>
      </c>
    </row>
    <row r="5">
      <c r="A5" s="25" t="s">
        <v>44</v>
      </c>
      <c r="B5" s="26" t="s">
        <v>45</v>
      </c>
      <c r="D5" s="27" t="s">
        <v>19</v>
      </c>
      <c r="E5" s="28">
        <f>COUNTIF($K$12:$K$200,"Pass")</f>
        <v>0</v>
      </c>
      <c r="G5" s="27" t="s">
        <v>25</v>
      </c>
      <c r="H5" s="28">
        <f>COUNTIF($K$12:$K$200,"Blocked")</f>
        <v>0</v>
      </c>
    </row>
    <row r="6">
      <c r="A6" s="25" t="s">
        <v>46</v>
      </c>
      <c r="B6" s="26" t="s">
        <v>47</v>
      </c>
      <c r="D6" s="27" t="s">
        <v>22</v>
      </c>
      <c r="E6" s="28">
        <f>COUNTIF($K$12:$K$200,"Fail")</f>
        <v>0</v>
      </c>
      <c r="G6" s="27" t="s">
        <v>28</v>
      </c>
      <c r="H6" s="28">
        <f>COUNTIF($K$12:$K$200,"Not Run")</f>
        <v>8</v>
      </c>
    </row>
    <row r="8">
      <c r="A8" s="30" t="s">
        <v>48</v>
      </c>
      <c r="B8" s="31" t="s">
        <v>49</v>
      </c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3"/>
    </row>
    <row r="10" ht="30.0" customHeight="1">
      <c r="A10" s="34" t="s">
        <v>50</v>
      </c>
      <c r="B10" s="34" t="s">
        <v>51</v>
      </c>
      <c r="C10" s="34" t="s">
        <v>52</v>
      </c>
      <c r="D10" s="34" t="s">
        <v>53</v>
      </c>
      <c r="E10" s="34" t="s">
        <v>54</v>
      </c>
      <c r="F10" s="34" t="s">
        <v>55</v>
      </c>
      <c r="G10" s="34" t="s">
        <v>56</v>
      </c>
      <c r="H10" s="34" t="s">
        <v>57</v>
      </c>
      <c r="I10" s="34" t="s">
        <v>58</v>
      </c>
      <c r="J10" s="34" t="s">
        <v>59</v>
      </c>
      <c r="K10" s="34" t="s">
        <v>60</v>
      </c>
      <c r="L10" s="34" t="s">
        <v>61</v>
      </c>
      <c r="M10" s="34" t="s">
        <v>62</v>
      </c>
      <c r="N10" s="34" t="s">
        <v>63</v>
      </c>
      <c r="O10" s="34" t="s">
        <v>64</v>
      </c>
      <c r="P10" s="34" t="s">
        <v>65</v>
      </c>
    </row>
    <row r="11">
      <c r="A11" s="35"/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</row>
    <row r="12" ht="48.0" customHeight="1">
      <c r="A12" s="36" t="s">
        <v>168</v>
      </c>
      <c r="B12" s="37" t="s">
        <v>169</v>
      </c>
      <c r="C12" s="37" t="s">
        <v>169</v>
      </c>
      <c r="D12" s="38" t="s">
        <v>102</v>
      </c>
      <c r="E12" s="39" t="s">
        <v>170</v>
      </c>
      <c r="F12" s="39" t="s">
        <v>171</v>
      </c>
      <c r="G12" s="37" t="s">
        <v>172</v>
      </c>
      <c r="H12" s="37" t="s">
        <v>173</v>
      </c>
      <c r="I12" s="38" t="s">
        <v>28</v>
      </c>
      <c r="J12" s="37" t="s">
        <v>73</v>
      </c>
      <c r="K12" s="38" t="s">
        <v>28</v>
      </c>
      <c r="L12" s="37" t="s">
        <v>73</v>
      </c>
      <c r="M12" s="39" t="s">
        <v>73</v>
      </c>
      <c r="N12" s="40" t="s">
        <v>73</v>
      </c>
      <c r="O12" s="39" t="s">
        <v>74</v>
      </c>
      <c r="P12" s="39" t="s">
        <v>73</v>
      </c>
    </row>
    <row r="13" ht="48.0" customHeight="1">
      <c r="A13" s="36" t="s">
        <v>174</v>
      </c>
      <c r="B13" s="37" t="s">
        <v>175</v>
      </c>
      <c r="C13" s="37" t="s">
        <v>175</v>
      </c>
      <c r="D13" s="38" t="s">
        <v>68</v>
      </c>
      <c r="E13" s="39" t="s">
        <v>176</v>
      </c>
      <c r="F13" s="39" t="s">
        <v>177</v>
      </c>
      <c r="G13" s="37" t="s">
        <v>178</v>
      </c>
      <c r="H13" s="37" t="s">
        <v>179</v>
      </c>
      <c r="I13" s="38" t="s">
        <v>28</v>
      </c>
      <c r="J13" s="37" t="s">
        <v>73</v>
      </c>
      <c r="K13" s="38" t="s">
        <v>28</v>
      </c>
      <c r="L13" s="37" t="s">
        <v>73</v>
      </c>
      <c r="M13" s="39" t="s">
        <v>73</v>
      </c>
      <c r="N13" s="40" t="s">
        <v>73</v>
      </c>
      <c r="O13" s="39" t="s">
        <v>74</v>
      </c>
      <c r="P13" s="39" t="s">
        <v>73</v>
      </c>
    </row>
    <row r="14" ht="48.0" customHeight="1">
      <c r="A14" s="36" t="s">
        <v>180</v>
      </c>
      <c r="B14" s="37" t="s">
        <v>181</v>
      </c>
      <c r="C14" s="37" t="s">
        <v>181</v>
      </c>
      <c r="D14" s="38" t="s">
        <v>102</v>
      </c>
      <c r="E14" s="39" t="s">
        <v>182</v>
      </c>
      <c r="F14" s="39" t="s">
        <v>183</v>
      </c>
      <c r="G14" s="37" t="s">
        <v>184</v>
      </c>
      <c r="H14" s="37" t="s">
        <v>185</v>
      </c>
      <c r="I14" s="38" t="s">
        <v>28</v>
      </c>
      <c r="J14" s="37" t="s">
        <v>73</v>
      </c>
      <c r="K14" s="38" t="s">
        <v>28</v>
      </c>
      <c r="L14" s="37" t="s">
        <v>73</v>
      </c>
      <c r="M14" s="39" t="s">
        <v>73</v>
      </c>
      <c r="N14" s="40" t="s">
        <v>73</v>
      </c>
      <c r="O14" s="39" t="s">
        <v>74</v>
      </c>
      <c r="P14" s="39" t="s">
        <v>73</v>
      </c>
    </row>
    <row r="15" ht="48.0" customHeight="1">
      <c r="A15" s="36" t="s">
        <v>186</v>
      </c>
      <c r="B15" s="37" t="s">
        <v>187</v>
      </c>
      <c r="C15" s="37" t="s">
        <v>187</v>
      </c>
      <c r="D15" s="38" t="s">
        <v>68</v>
      </c>
      <c r="E15" s="39" t="s">
        <v>188</v>
      </c>
      <c r="F15" s="39" t="s">
        <v>189</v>
      </c>
      <c r="G15" s="37" t="s">
        <v>190</v>
      </c>
      <c r="H15" s="37" t="s">
        <v>191</v>
      </c>
      <c r="I15" s="38" t="s">
        <v>28</v>
      </c>
      <c r="J15" s="37" t="s">
        <v>73</v>
      </c>
      <c r="K15" s="38" t="s">
        <v>28</v>
      </c>
      <c r="L15" s="37" t="s">
        <v>73</v>
      </c>
      <c r="M15" s="39" t="s">
        <v>73</v>
      </c>
      <c r="N15" s="40" t="s">
        <v>73</v>
      </c>
      <c r="O15" s="39" t="s">
        <v>74</v>
      </c>
      <c r="P15" s="39" t="s">
        <v>73</v>
      </c>
    </row>
    <row r="16" ht="48.0" customHeight="1">
      <c r="A16" s="36" t="s">
        <v>192</v>
      </c>
      <c r="B16" s="37" t="s">
        <v>193</v>
      </c>
      <c r="C16" s="37" t="s">
        <v>193</v>
      </c>
      <c r="D16" s="38" t="s">
        <v>68</v>
      </c>
      <c r="E16" s="39" t="s">
        <v>194</v>
      </c>
      <c r="F16" s="39" t="s">
        <v>195</v>
      </c>
      <c r="G16" s="37" t="s">
        <v>196</v>
      </c>
      <c r="H16" s="37" t="s">
        <v>197</v>
      </c>
      <c r="I16" s="38" t="s">
        <v>28</v>
      </c>
      <c r="J16" s="37" t="s">
        <v>73</v>
      </c>
      <c r="K16" s="38" t="s">
        <v>28</v>
      </c>
      <c r="L16" s="37" t="s">
        <v>73</v>
      </c>
      <c r="M16" s="39" t="s">
        <v>73</v>
      </c>
      <c r="N16" s="40" t="s">
        <v>73</v>
      </c>
      <c r="O16" s="39" t="s">
        <v>74</v>
      </c>
      <c r="P16" s="39" t="s">
        <v>73</v>
      </c>
    </row>
    <row r="17" ht="48.0" customHeight="1">
      <c r="A17" s="36" t="s">
        <v>198</v>
      </c>
      <c r="B17" s="37" t="s">
        <v>199</v>
      </c>
      <c r="C17" s="37" t="s">
        <v>199</v>
      </c>
      <c r="D17" s="38" t="s">
        <v>68</v>
      </c>
      <c r="E17" s="39" t="s">
        <v>200</v>
      </c>
      <c r="F17" s="39" t="s">
        <v>201</v>
      </c>
      <c r="G17" s="37" t="s">
        <v>202</v>
      </c>
      <c r="H17" s="37" t="s">
        <v>203</v>
      </c>
      <c r="I17" s="38" t="s">
        <v>28</v>
      </c>
      <c r="J17" s="37" t="s">
        <v>73</v>
      </c>
      <c r="K17" s="38" t="s">
        <v>28</v>
      </c>
      <c r="L17" s="37" t="s">
        <v>73</v>
      </c>
      <c r="M17" s="39" t="s">
        <v>73</v>
      </c>
      <c r="N17" s="40" t="s">
        <v>73</v>
      </c>
      <c r="O17" s="39" t="s">
        <v>74</v>
      </c>
      <c r="P17" s="39" t="s">
        <v>73</v>
      </c>
    </row>
    <row r="18" ht="48.0" customHeight="1">
      <c r="A18" s="36" t="s">
        <v>204</v>
      </c>
      <c r="B18" s="37" t="s">
        <v>205</v>
      </c>
      <c r="C18" s="37" t="s">
        <v>205</v>
      </c>
      <c r="D18" s="38" t="s">
        <v>83</v>
      </c>
      <c r="E18" s="39" t="s">
        <v>206</v>
      </c>
      <c r="F18" s="39" t="s">
        <v>207</v>
      </c>
      <c r="G18" s="37" t="s">
        <v>208</v>
      </c>
      <c r="H18" s="37" t="s">
        <v>209</v>
      </c>
      <c r="I18" s="38" t="s">
        <v>28</v>
      </c>
      <c r="J18" s="37" t="s">
        <v>73</v>
      </c>
      <c r="K18" s="38" t="s">
        <v>28</v>
      </c>
      <c r="L18" s="37" t="s">
        <v>73</v>
      </c>
      <c r="M18" s="39" t="s">
        <v>73</v>
      </c>
      <c r="N18" s="40" t="s">
        <v>73</v>
      </c>
      <c r="O18" s="39" t="s">
        <v>74</v>
      </c>
      <c r="P18" s="39" t="s">
        <v>73</v>
      </c>
    </row>
    <row r="19" ht="48.0" customHeight="1">
      <c r="A19" s="36" t="s">
        <v>210</v>
      </c>
      <c r="B19" s="37" t="s">
        <v>211</v>
      </c>
      <c r="C19" s="37" t="s">
        <v>211</v>
      </c>
      <c r="D19" s="38" t="s">
        <v>68</v>
      </c>
      <c r="E19" s="39" t="s">
        <v>212</v>
      </c>
      <c r="F19" s="39" t="s">
        <v>213</v>
      </c>
      <c r="G19" s="37" t="s">
        <v>214</v>
      </c>
      <c r="H19" s="37" t="s">
        <v>215</v>
      </c>
      <c r="I19" s="38" t="s">
        <v>28</v>
      </c>
      <c r="J19" s="37" t="s">
        <v>73</v>
      </c>
      <c r="K19" s="38" t="s">
        <v>28</v>
      </c>
      <c r="L19" s="37" t="s">
        <v>73</v>
      </c>
      <c r="M19" s="39" t="s">
        <v>73</v>
      </c>
      <c r="N19" s="40" t="s">
        <v>73</v>
      </c>
      <c r="O19" s="39" t="s">
        <v>74</v>
      </c>
      <c r="P19" s="39" t="s">
        <v>73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">
    <mergeCell ref="A1:P1"/>
    <mergeCell ref="A2:P2"/>
    <mergeCell ref="B8:P8"/>
  </mergeCells>
  <conditionalFormatting sqref="K12:K19">
    <cfRule type="expression" dxfId="4" priority="1">
      <formula>EXACT(K12,"Pass")</formula>
    </cfRule>
  </conditionalFormatting>
  <conditionalFormatting sqref="K12">
    <cfRule type="expression" dxfId="4" priority="2">
      <formula>EXACT($K12,"Pass")</formula>
    </cfRule>
  </conditionalFormatting>
  <conditionalFormatting sqref="K12">
    <cfRule type="expression" dxfId="5" priority="3">
      <formula>EXACT($K12,"Fail")</formula>
    </cfRule>
  </conditionalFormatting>
  <conditionalFormatting sqref="K12">
    <cfRule type="expression" dxfId="6" priority="4">
      <formula>EXACT($K12,"Blocked")</formula>
    </cfRule>
  </conditionalFormatting>
  <conditionalFormatting sqref="K12">
    <cfRule type="expression" dxfId="7" priority="5">
      <formula>EXACT($K12,"Not Run")</formula>
    </cfRule>
  </conditionalFormatting>
  <conditionalFormatting sqref="I12">
    <cfRule type="expression" dxfId="4" priority="6">
      <formula>EXACT($I12,"Executed")</formula>
    </cfRule>
  </conditionalFormatting>
  <conditionalFormatting sqref="I12">
    <cfRule type="expression" dxfId="8" priority="7">
      <formula>EXACT($I12,"In Progress")</formula>
    </cfRule>
  </conditionalFormatting>
  <conditionalFormatting sqref="I12">
    <cfRule type="expression" dxfId="6" priority="8">
      <formula>EXACT($I12,"Blocked")</formula>
    </cfRule>
  </conditionalFormatting>
  <conditionalFormatting sqref="I12">
    <cfRule type="expression" dxfId="9" priority="9">
      <formula>EXACT($I12,"Retest")</formula>
    </cfRule>
  </conditionalFormatting>
  <conditionalFormatting sqref="I12">
    <cfRule type="expression" dxfId="7" priority="10">
      <formula>EXACT($I12,"Not Run")</formula>
    </cfRule>
  </conditionalFormatting>
  <conditionalFormatting sqref="K13">
    <cfRule type="expression" dxfId="4" priority="11">
      <formula>EXACT($K13,"Pass")</formula>
    </cfRule>
  </conditionalFormatting>
  <conditionalFormatting sqref="K13">
    <cfRule type="expression" dxfId="5" priority="12">
      <formula>EXACT($K13,"Fail")</formula>
    </cfRule>
  </conditionalFormatting>
  <conditionalFormatting sqref="K13">
    <cfRule type="expression" dxfId="6" priority="13">
      <formula>EXACT($K13,"Blocked")</formula>
    </cfRule>
  </conditionalFormatting>
  <conditionalFormatting sqref="K13">
    <cfRule type="expression" dxfId="7" priority="14">
      <formula>EXACT($K13,"Not Run")</formula>
    </cfRule>
  </conditionalFormatting>
  <conditionalFormatting sqref="I13">
    <cfRule type="expression" dxfId="4" priority="15">
      <formula>EXACT($I13,"Executed")</formula>
    </cfRule>
  </conditionalFormatting>
  <conditionalFormatting sqref="I13">
    <cfRule type="expression" dxfId="8" priority="16">
      <formula>EXACT($I13,"In Progress")</formula>
    </cfRule>
  </conditionalFormatting>
  <conditionalFormatting sqref="I13">
    <cfRule type="expression" dxfId="6" priority="17">
      <formula>EXACT($I13,"Blocked")</formula>
    </cfRule>
  </conditionalFormatting>
  <conditionalFormatting sqref="I13">
    <cfRule type="expression" dxfId="9" priority="18">
      <formula>EXACT($I13,"Retest")</formula>
    </cfRule>
  </conditionalFormatting>
  <conditionalFormatting sqref="I13">
    <cfRule type="expression" dxfId="7" priority="19">
      <formula>EXACT($I13,"Not Run")</formula>
    </cfRule>
  </conditionalFormatting>
  <conditionalFormatting sqref="K14">
    <cfRule type="expression" dxfId="4" priority="20">
      <formula>EXACT($K14,"Pass")</formula>
    </cfRule>
  </conditionalFormatting>
  <conditionalFormatting sqref="K14">
    <cfRule type="expression" dxfId="5" priority="21">
      <formula>EXACT($K14,"Fail")</formula>
    </cfRule>
  </conditionalFormatting>
  <conditionalFormatting sqref="K14">
    <cfRule type="expression" dxfId="6" priority="22">
      <formula>EXACT($K14,"Blocked")</formula>
    </cfRule>
  </conditionalFormatting>
  <conditionalFormatting sqref="K14">
    <cfRule type="expression" dxfId="7" priority="23">
      <formula>EXACT($K14,"Not Run")</formula>
    </cfRule>
  </conditionalFormatting>
  <conditionalFormatting sqref="I14">
    <cfRule type="expression" dxfId="4" priority="24">
      <formula>EXACT($I14,"Executed")</formula>
    </cfRule>
  </conditionalFormatting>
  <conditionalFormatting sqref="I14">
    <cfRule type="expression" dxfId="8" priority="25">
      <formula>EXACT($I14,"In Progress")</formula>
    </cfRule>
  </conditionalFormatting>
  <conditionalFormatting sqref="I14">
    <cfRule type="expression" dxfId="6" priority="26">
      <formula>EXACT($I14,"Blocked")</formula>
    </cfRule>
  </conditionalFormatting>
  <conditionalFormatting sqref="I14">
    <cfRule type="expression" dxfId="9" priority="27">
      <formula>EXACT($I14,"Retest")</formula>
    </cfRule>
  </conditionalFormatting>
  <conditionalFormatting sqref="I14">
    <cfRule type="expression" dxfId="7" priority="28">
      <formula>EXACT($I14,"Not Run")</formula>
    </cfRule>
  </conditionalFormatting>
  <conditionalFormatting sqref="K15">
    <cfRule type="expression" dxfId="4" priority="29">
      <formula>EXACT($K15,"Pass")</formula>
    </cfRule>
  </conditionalFormatting>
  <conditionalFormatting sqref="K15">
    <cfRule type="expression" dxfId="5" priority="30">
      <formula>EXACT($K15,"Fail")</formula>
    </cfRule>
  </conditionalFormatting>
  <conditionalFormatting sqref="K15">
    <cfRule type="expression" dxfId="6" priority="31">
      <formula>EXACT($K15,"Blocked")</formula>
    </cfRule>
  </conditionalFormatting>
  <conditionalFormatting sqref="K15">
    <cfRule type="expression" dxfId="7" priority="32">
      <formula>EXACT($K15,"Not Run")</formula>
    </cfRule>
  </conditionalFormatting>
  <conditionalFormatting sqref="I15">
    <cfRule type="expression" dxfId="4" priority="33">
      <formula>EXACT($I15,"Executed")</formula>
    </cfRule>
  </conditionalFormatting>
  <conditionalFormatting sqref="I15">
    <cfRule type="expression" dxfId="8" priority="34">
      <formula>EXACT($I15,"In Progress")</formula>
    </cfRule>
  </conditionalFormatting>
  <conditionalFormatting sqref="I15">
    <cfRule type="expression" dxfId="6" priority="35">
      <formula>EXACT($I15,"Blocked")</formula>
    </cfRule>
  </conditionalFormatting>
  <conditionalFormatting sqref="I15">
    <cfRule type="expression" dxfId="9" priority="36">
      <formula>EXACT($I15,"Retest")</formula>
    </cfRule>
  </conditionalFormatting>
  <conditionalFormatting sqref="I15">
    <cfRule type="expression" dxfId="7" priority="37">
      <formula>EXACT($I15,"Not Run")</formula>
    </cfRule>
  </conditionalFormatting>
  <conditionalFormatting sqref="K16">
    <cfRule type="expression" dxfId="4" priority="38">
      <formula>EXACT($K16,"Pass")</formula>
    </cfRule>
  </conditionalFormatting>
  <conditionalFormatting sqref="K16">
    <cfRule type="expression" dxfId="5" priority="39">
      <formula>EXACT($K16,"Fail")</formula>
    </cfRule>
  </conditionalFormatting>
  <conditionalFormatting sqref="K16">
    <cfRule type="expression" dxfId="6" priority="40">
      <formula>EXACT($K16,"Blocked")</formula>
    </cfRule>
  </conditionalFormatting>
  <conditionalFormatting sqref="K16">
    <cfRule type="expression" dxfId="7" priority="41">
      <formula>EXACT($K16,"Not Run")</formula>
    </cfRule>
  </conditionalFormatting>
  <conditionalFormatting sqref="I16">
    <cfRule type="expression" dxfId="4" priority="42">
      <formula>EXACT($I16,"Executed")</formula>
    </cfRule>
  </conditionalFormatting>
  <conditionalFormatting sqref="I16">
    <cfRule type="expression" dxfId="8" priority="43">
      <formula>EXACT($I16,"In Progress")</formula>
    </cfRule>
  </conditionalFormatting>
  <conditionalFormatting sqref="I16">
    <cfRule type="expression" dxfId="6" priority="44">
      <formula>EXACT($I16,"Blocked")</formula>
    </cfRule>
  </conditionalFormatting>
  <conditionalFormatting sqref="I16">
    <cfRule type="expression" dxfId="9" priority="45">
      <formula>EXACT($I16,"Retest")</formula>
    </cfRule>
  </conditionalFormatting>
  <conditionalFormatting sqref="I16">
    <cfRule type="expression" dxfId="7" priority="46">
      <formula>EXACT($I16,"Not Run")</formula>
    </cfRule>
  </conditionalFormatting>
  <conditionalFormatting sqref="K17">
    <cfRule type="expression" dxfId="4" priority="47">
      <formula>EXACT($K17,"Pass")</formula>
    </cfRule>
  </conditionalFormatting>
  <conditionalFormatting sqref="K17">
    <cfRule type="expression" dxfId="5" priority="48">
      <formula>EXACT($K17,"Fail")</formula>
    </cfRule>
  </conditionalFormatting>
  <conditionalFormatting sqref="K17">
    <cfRule type="expression" dxfId="6" priority="49">
      <formula>EXACT($K17,"Blocked")</formula>
    </cfRule>
  </conditionalFormatting>
  <conditionalFormatting sqref="K17">
    <cfRule type="expression" dxfId="7" priority="50">
      <formula>EXACT($K17,"Not Run")</formula>
    </cfRule>
  </conditionalFormatting>
  <conditionalFormatting sqref="I17">
    <cfRule type="expression" dxfId="4" priority="51">
      <formula>EXACT($I17,"Executed")</formula>
    </cfRule>
  </conditionalFormatting>
  <conditionalFormatting sqref="I17">
    <cfRule type="expression" dxfId="8" priority="52">
      <formula>EXACT($I17,"In Progress")</formula>
    </cfRule>
  </conditionalFormatting>
  <conditionalFormatting sqref="I17">
    <cfRule type="expression" dxfId="6" priority="53">
      <formula>EXACT($I17,"Blocked")</formula>
    </cfRule>
  </conditionalFormatting>
  <conditionalFormatting sqref="I17">
    <cfRule type="expression" dxfId="9" priority="54">
      <formula>EXACT($I17,"Retest")</formula>
    </cfRule>
  </conditionalFormatting>
  <conditionalFormatting sqref="I17">
    <cfRule type="expression" dxfId="7" priority="55">
      <formula>EXACT($I17,"Not Run")</formula>
    </cfRule>
  </conditionalFormatting>
  <conditionalFormatting sqref="K18">
    <cfRule type="expression" dxfId="4" priority="56">
      <formula>EXACT($K18,"Pass")</formula>
    </cfRule>
  </conditionalFormatting>
  <conditionalFormatting sqref="K18">
    <cfRule type="expression" dxfId="5" priority="57">
      <formula>EXACT($K18,"Fail")</formula>
    </cfRule>
  </conditionalFormatting>
  <conditionalFormatting sqref="K18">
    <cfRule type="expression" dxfId="6" priority="58">
      <formula>EXACT($K18,"Blocked")</formula>
    </cfRule>
  </conditionalFormatting>
  <conditionalFormatting sqref="K18">
    <cfRule type="expression" dxfId="7" priority="59">
      <formula>EXACT($K18,"Not Run")</formula>
    </cfRule>
  </conditionalFormatting>
  <conditionalFormatting sqref="I18">
    <cfRule type="expression" dxfId="4" priority="60">
      <formula>EXACT($I18,"Executed")</formula>
    </cfRule>
  </conditionalFormatting>
  <conditionalFormatting sqref="I18">
    <cfRule type="expression" dxfId="8" priority="61">
      <formula>EXACT($I18,"In Progress")</formula>
    </cfRule>
  </conditionalFormatting>
  <conditionalFormatting sqref="I18">
    <cfRule type="expression" dxfId="6" priority="62">
      <formula>EXACT($I18,"Blocked")</formula>
    </cfRule>
  </conditionalFormatting>
  <conditionalFormatting sqref="I18">
    <cfRule type="expression" dxfId="9" priority="63">
      <formula>EXACT($I18,"Retest")</formula>
    </cfRule>
  </conditionalFormatting>
  <conditionalFormatting sqref="I18">
    <cfRule type="expression" dxfId="7" priority="64">
      <formula>EXACT($I18,"Not Run")</formula>
    </cfRule>
  </conditionalFormatting>
  <conditionalFormatting sqref="K19">
    <cfRule type="expression" dxfId="4" priority="65">
      <formula>EXACT($K19,"Pass")</formula>
    </cfRule>
  </conditionalFormatting>
  <conditionalFormatting sqref="K19">
    <cfRule type="expression" dxfId="5" priority="66">
      <formula>EXACT($K19,"Fail")</formula>
    </cfRule>
  </conditionalFormatting>
  <conditionalFormatting sqref="K19">
    <cfRule type="expression" dxfId="6" priority="67">
      <formula>EXACT($K19,"Blocked")</formula>
    </cfRule>
  </conditionalFormatting>
  <conditionalFormatting sqref="K19">
    <cfRule type="expression" dxfId="7" priority="68">
      <formula>EXACT($K19,"Not Run")</formula>
    </cfRule>
  </conditionalFormatting>
  <conditionalFormatting sqref="I19">
    <cfRule type="expression" dxfId="4" priority="69">
      <formula>EXACT($I19,"Executed")</formula>
    </cfRule>
  </conditionalFormatting>
  <conditionalFormatting sqref="I19">
    <cfRule type="expression" dxfId="8" priority="70">
      <formula>EXACT($I19,"In Progress")</formula>
    </cfRule>
  </conditionalFormatting>
  <conditionalFormatting sqref="I19">
    <cfRule type="expression" dxfId="6" priority="71">
      <formula>EXACT($I19,"Blocked")</formula>
    </cfRule>
  </conditionalFormatting>
  <conditionalFormatting sqref="I19">
    <cfRule type="expression" dxfId="9" priority="72">
      <formula>EXACT($I19,"Retest")</formula>
    </cfRule>
  </conditionalFormatting>
  <conditionalFormatting sqref="I19">
    <cfRule type="expression" dxfId="7" priority="73">
      <formula>EXACT($I19,"Not Run")</formula>
    </cfRule>
  </conditionalFormatting>
  <conditionalFormatting sqref="D12">
    <cfRule type="expression" dxfId="10" priority="74">
      <formula>EXACT($D12,"Critical")</formula>
    </cfRule>
  </conditionalFormatting>
  <conditionalFormatting sqref="D12">
    <cfRule type="expression" dxfId="11" priority="75">
      <formula>EXACT($D12,"High")</formula>
    </cfRule>
  </conditionalFormatting>
  <conditionalFormatting sqref="D12">
    <cfRule type="expression" dxfId="6" priority="76">
      <formula>EXACT($D12,"Medium")</formula>
    </cfRule>
  </conditionalFormatting>
  <conditionalFormatting sqref="D12">
    <cfRule type="expression" dxfId="12" priority="77">
      <formula>EXACT($D12,"Low")</formula>
    </cfRule>
  </conditionalFormatting>
  <conditionalFormatting sqref="D13">
    <cfRule type="expression" dxfId="10" priority="78">
      <formula>EXACT($D13,"Critical")</formula>
    </cfRule>
  </conditionalFormatting>
  <conditionalFormatting sqref="D13">
    <cfRule type="expression" dxfId="11" priority="79">
      <formula>EXACT($D13,"High")</formula>
    </cfRule>
  </conditionalFormatting>
  <conditionalFormatting sqref="D13">
    <cfRule type="expression" dxfId="6" priority="80">
      <formula>EXACT($D13,"Medium")</formula>
    </cfRule>
  </conditionalFormatting>
  <conditionalFormatting sqref="D13">
    <cfRule type="expression" dxfId="12" priority="81">
      <formula>EXACT($D13,"Low")</formula>
    </cfRule>
  </conditionalFormatting>
  <conditionalFormatting sqref="D14">
    <cfRule type="expression" dxfId="10" priority="82">
      <formula>EXACT($D14,"Critical")</formula>
    </cfRule>
  </conditionalFormatting>
  <conditionalFormatting sqref="D14">
    <cfRule type="expression" dxfId="11" priority="83">
      <formula>EXACT($D14,"High")</formula>
    </cfRule>
  </conditionalFormatting>
  <conditionalFormatting sqref="D14">
    <cfRule type="expression" dxfId="6" priority="84">
      <formula>EXACT($D14,"Medium")</formula>
    </cfRule>
  </conditionalFormatting>
  <conditionalFormatting sqref="D14">
    <cfRule type="expression" dxfId="12" priority="85">
      <formula>EXACT($D14,"Low")</formula>
    </cfRule>
  </conditionalFormatting>
  <conditionalFormatting sqref="D15">
    <cfRule type="expression" dxfId="10" priority="86">
      <formula>EXACT($D15,"Critical")</formula>
    </cfRule>
  </conditionalFormatting>
  <conditionalFormatting sqref="D15">
    <cfRule type="expression" dxfId="11" priority="87">
      <formula>EXACT($D15,"High")</formula>
    </cfRule>
  </conditionalFormatting>
  <conditionalFormatting sqref="D15">
    <cfRule type="expression" dxfId="6" priority="88">
      <formula>EXACT($D15,"Medium")</formula>
    </cfRule>
  </conditionalFormatting>
  <conditionalFormatting sqref="D15">
    <cfRule type="expression" dxfId="12" priority="89">
      <formula>EXACT($D15,"Low")</formula>
    </cfRule>
  </conditionalFormatting>
  <conditionalFormatting sqref="D16">
    <cfRule type="expression" dxfId="10" priority="90">
      <formula>EXACT($D16,"Critical")</formula>
    </cfRule>
  </conditionalFormatting>
  <conditionalFormatting sqref="D16">
    <cfRule type="expression" dxfId="11" priority="91">
      <formula>EXACT($D16,"High")</formula>
    </cfRule>
  </conditionalFormatting>
  <conditionalFormatting sqref="D16">
    <cfRule type="expression" dxfId="6" priority="92">
      <formula>EXACT($D16,"Medium")</formula>
    </cfRule>
  </conditionalFormatting>
  <conditionalFormatting sqref="D16">
    <cfRule type="expression" dxfId="12" priority="93">
      <formula>EXACT($D16,"Low")</formula>
    </cfRule>
  </conditionalFormatting>
  <conditionalFormatting sqref="D17">
    <cfRule type="expression" dxfId="10" priority="94">
      <formula>EXACT($D17,"Critical")</formula>
    </cfRule>
  </conditionalFormatting>
  <conditionalFormatting sqref="D17">
    <cfRule type="expression" dxfId="11" priority="95">
      <formula>EXACT($D17,"High")</formula>
    </cfRule>
  </conditionalFormatting>
  <conditionalFormatting sqref="D17">
    <cfRule type="expression" dxfId="6" priority="96">
      <formula>EXACT($D17,"Medium")</formula>
    </cfRule>
  </conditionalFormatting>
  <conditionalFormatting sqref="D17">
    <cfRule type="expression" dxfId="12" priority="97">
      <formula>EXACT($D17,"Low")</formula>
    </cfRule>
  </conditionalFormatting>
  <conditionalFormatting sqref="D18">
    <cfRule type="expression" dxfId="10" priority="98">
      <formula>EXACT($D18,"Critical")</formula>
    </cfRule>
  </conditionalFormatting>
  <conditionalFormatting sqref="D18">
    <cfRule type="expression" dxfId="11" priority="99">
      <formula>EXACT($D18,"High")</formula>
    </cfRule>
  </conditionalFormatting>
  <conditionalFormatting sqref="D18">
    <cfRule type="expression" dxfId="6" priority="100">
      <formula>EXACT($D18,"Medium")</formula>
    </cfRule>
  </conditionalFormatting>
  <conditionalFormatting sqref="D18">
    <cfRule type="expression" dxfId="12" priority="101">
      <formula>EXACT($D18,"Low")</formula>
    </cfRule>
  </conditionalFormatting>
  <conditionalFormatting sqref="D19">
    <cfRule type="expression" dxfId="10" priority="102">
      <formula>EXACT($D19,"Critical")</formula>
    </cfRule>
  </conditionalFormatting>
  <conditionalFormatting sqref="D19">
    <cfRule type="expression" dxfId="11" priority="103">
      <formula>EXACT($D19,"High")</formula>
    </cfRule>
  </conditionalFormatting>
  <conditionalFormatting sqref="D19">
    <cfRule type="expression" dxfId="6" priority="104">
      <formula>EXACT($D19,"Medium")</formula>
    </cfRule>
  </conditionalFormatting>
  <conditionalFormatting sqref="D19">
    <cfRule type="expression" dxfId="12" priority="105">
      <formula>EXACT($D19,"Low")</formula>
    </cfRule>
  </conditionalFormatting>
  <printOptions/>
  <pageMargins bottom="0.75" footer="0.0" header="0.0" left="0.7" right="0.7" top="0.75"/>
  <pageSetup orientation="landscape"/>
  <drawing r:id="rId2"/>
  <legacyDrawing r:id="rId3"/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12.0"/>
    <col customWidth="1" min="2" max="2" width="35.0"/>
    <col customWidth="1" min="3" max="3" width="28.0"/>
    <col customWidth="1" min="4" max="4" width="12.0"/>
    <col customWidth="1" min="5" max="5" width="34.0"/>
    <col customWidth="1" min="6" max="6" width="24.0"/>
    <col customWidth="1" min="7" max="8" width="40.0"/>
    <col customWidth="1" min="9" max="9" width="16.0"/>
    <col customWidth="1" min="10" max="10" width="28.0"/>
    <col customWidth="1" min="11" max="11" width="14.0"/>
    <col customWidth="1" min="12" max="12" width="13.0"/>
    <col customWidth="1" min="13" max="15" width="14.0"/>
    <col customWidth="1" min="16" max="16" width="24.0"/>
    <col customWidth="1" min="17" max="26" width="8.71"/>
  </cols>
  <sheetData>
    <row r="1" ht="24.0" customHeight="1">
      <c r="A1" s="1" t="s">
        <v>216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3"/>
    </row>
    <row r="2" ht="19.5" customHeight="1">
      <c r="A2" s="4" t="s">
        <v>42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3"/>
    </row>
    <row r="4">
      <c r="A4" s="25" t="s">
        <v>36</v>
      </c>
      <c r="B4" s="26" t="s">
        <v>26</v>
      </c>
      <c r="D4" s="27" t="s">
        <v>43</v>
      </c>
      <c r="E4" s="28">
        <f>COUNTA($A$12:$A$200)</f>
        <v>8</v>
      </c>
      <c r="G4" s="27" t="s">
        <v>38</v>
      </c>
      <c r="H4" s="29">
        <f>IF(E4=0,0,E5/E4)</f>
        <v>0</v>
      </c>
    </row>
    <row r="5">
      <c r="A5" s="25" t="s">
        <v>44</v>
      </c>
      <c r="B5" s="26" t="s">
        <v>45</v>
      </c>
      <c r="D5" s="27" t="s">
        <v>19</v>
      </c>
      <c r="E5" s="28">
        <f>COUNTIF($K$12:$K$200,"Pass")</f>
        <v>0</v>
      </c>
      <c r="G5" s="27" t="s">
        <v>25</v>
      </c>
      <c r="H5" s="28">
        <f>COUNTIF($K$12:$K$200,"Blocked")</f>
        <v>0</v>
      </c>
    </row>
    <row r="6">
      <c r="A6" s="25" t="s">
        <v>46</v>
      </c>
      <c r="B6" s="26" t="s">
        <v>47</v>
      </c>
      <c r="D6" s="27" t="s">
        <v>22</v>
      </c>
      <c r="E6" s="28">
        <f>COUNTIF($K$12:$K$200,"Fail")</f>
        <v>0</v>
      </c>
      <c r="G6" s="27" t="s">
        <v>28</v>
      </c>
      <c r="H6" s="28">
        <f>COUNTIF($K$12:$K$200,"Not Run")</f>
        <v>8</v>
      </c>
    </row>
    <row r="8">
      <c r="A8" s="30" t="s">
        <v>48</v>
      </c>
      <c r="B8" s="31" t="s">
        <v>49</v>
      </c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3"/>
    </row>
    <row r="10" ht="30.0" customHeight="1">
      <c r="A10" s="34" t="s">
        <v>50</v>
      </c>
      <c r="B10" s="34" t="s">
        <v>51</v>
      </c>
      <c r="C10" s="34" t="s">
        <v>52</v>
      </c>
      <c r="D10" s="34" t="s">
        <v>53</v>
      </c>
      <c r="E10" s="34" t="s">
        <v>54</v>
      </c>
      <c r="F10" s="34" t="s">
        <v>55</v>
      </c>
      <c r="G10" s="34" t="s">
        <v>56</v>
      </c>
      <c r="H10" s="34" t="s">
        <v>57</v>
      </c>
      <c r="I10" s="34" t="s">
        <v>58</v>
      </c>
      <c r="J10" s="34" t="s">
        <v>59</v>
      </c>
      <c r="K10" s="34" t="s">
        <v>60</v>
      </c>
      <c r="L10" s="34" t="s">
        <v>61</v>
      </c>
      <c r="M10" s="34" t="s">
        <v>62</v>
      </c>
      <c r="N10" s="34" t="s">
        <v>63</v>
      </c>
      <c r="O10" s="34" t="s">
        <v>64</v>
      </c>
      <c r="P10" s="34" t="s">
        <v>65</v>
      </c>
    </row>
    <row r="11">
      <c r="A11" s="35"/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</row>
    <row r="12" ht="48.0" customHeight="1">
      <c r="A12" s="36" t="s">
        <v>217</v>
      </c>
      <c r="B12" s="37" t="s">
        <v>218</v>
      </c>
      <c r="C12" s="37" t="s">
        <v>218</v>
      </c>
      <c r="D12" s="38" t="s">
        <v>68</v>
      </c>
      <c r="E12" s="39" t="s">
        <v>219</v>
      </c>
      <c r="F12" s="39" t="s">
        <v>220</v>
      </c>
      <c r="G12" s="37" t="s">
        <v>221</v>
      </c>
      <c r="H12" s="37" t="s">
        <v>222</v>
      </c>
      <c r="I12" s="38" t="s">
        <v>28</v>
      </c>
      <c r="J12" s="37" t="s">
        <v>73</v>
      </c>
      <c r="K12" s="38" t="s">
        <v>28</v>
      </c>
      <c r="L12" s="37" t="s">
        <v>73</v>
      </c>
      <c r="M12" s="39" t="s">
        <v>73</v>
      </c>
      <c r="N12" s="40" t="s">
        <v>73</v>
      </c>
      <c r="O12" s="39" t="s">
        <v>74</v>
      </c>
      <c r="P12" s="39" t="s">
        <v>73</v>
      </c>
    </row>
    <row r="13" ht="48.0" customHeight="1">
      <c r="A13" s="36" t="s">
        <v>223</v>
      </c>
      <c r="B13" s="37" t="s">
        <v>224</v>
      </c>
      <c r="C13" s="37" t="s">
        <v>224</v>
      </c>
      <c r="D13" s="38" t="s">
        <v>68</v>
      </c>
      <c r="E13" s="39" t="s">
        <v>225</v>
      </c>
      <c r="F13" s="39" t="s">
        <v>226</v>
      </c>
      <c r="G13" s="37" t="s">
        <v>227</v>
      </c>
      <c r="H13" s="37" t="s">
        <v>228</v>
      </c>
      <c r="I13" s="38" t="s">
        <v>28</v>
      </c>
      <c r="J13" s="37" t="s">
        <v>73</v>
      </c>
      <c r="K13" s="38" t="s">
        <v>28</v>
      </c>
      <c r="L13" s="37" t="s">
        <v>73</v>
      </c>
      <c r="M13" s="39" t="s">
        <v>73</v>
      </c>
      <c r="N13" s="40" t="s">
        <v>73</v>
      </c>
      <c r="O13" s="39" t="s">
        <v>74</v>
      </c>
      <c r="P13" s="39" t="s">
        <v>73</v>
      </c>
    </row>
    <row r="14" ht="48.0" customHeight="1">
      <c r="A14" s="36" t="s">
        <v>229</v>
      </c>
      <c r="B14" s="37" t="s">
        <v>230</v>
      </c>
      <c r="C14" s="37" t="s">
        <v>230</v>
      </c>
      <c r="D14" s="38" t="s">
        <v>102</v>
      </c>
      <c r="E14" s="39" t="s">
        <v>231</v>
      </c>
      <c r="F14" s="39" t="s">
        <v>232</v>
      </c>
      <c r="G14" s="37" t="s">
        <v>233</v>
      </c>
      <c r="H14" s="37" t="s">
        <v>234</v>
      </c>
      <c r="I14" s="38" t="s">
        <v>28</v>
      </c>
      <c r="J14" s="37" t="s">
        <v>73</v>
      </c>
      <c r="K14" s="38" t="s">
        <v>28</v>
      </c>
      <c r="L14" s="37" t="s">
        <v>73</v>
      </c>
      <c r="M14" s="39" t="s">
        <v>73</v>
      </c>
      <c r="N14" s="40" t="s">
        <v>73</v>
      </c>
      <c r="O14" s="39" t="s">
        <v>74</v>
      </c>
      <c r="P14" s="39" t="s">
        <v>73</v>
      </c>
    </row>
    <row r="15" ht="48.0" customHeight="1">
      <c r="A15" s="36" t="s">
        <v>235</v>
      </c>
      <c r="B15" s="37" t="s">
        <v>236</v>
      </c>
      <c r="C15" s="37" t="s">
        <v>236</v>
      </c>
      <c r="D15" s="38" t="s">
        <v>102</v>
      </c>
      <c r="E15" s="39" t="s">
        <v>237</v>
      </c>
      <c r="F15" s="39" t="s">
        <v>238</v>
      </c>
      <c r="G15" s="37" t="s">
        <v>239</v>
      </c>
      <c r="H15" s="37" t="s">
        <v>240</v>
      </c>
      <c r="I15" s="38" t="s">
        <v>28</v>
      </c>
      <c r="J15" s="37" t="s">
        <v>73</v>
      </c>
      <c r="K15" s="38" t="s">
        <v>28</v>
      </c>
      <c r="L15" s="37" t="s">
        <v>73</v>
      </c>
      <c r="M15" s="39" t="s">
        <v>73</v>
      </c>
      <c r="N15" s="40" t="s">
        <v>73</v>
      </c>
      <c r="O15" s="39" t="s">
        <v>74</v>
      </c>
      <c r="P15" s="39" t="s">
        <v>73</v>
      </c>
    </row>
    <row r="16" ht="48.0" customHeight="1">
      <c r="A16" s="36" t="s">
        <v>241</v>
      </c>
      <c r="B16" s="37" t="s">
        <v>242</v>
      </c>
      <c r="C16" s="37" t="s">
        <v>242</v>
      </c>
      <c r="D16" s="38" t="s">
        <v>83</v>
      </c>
      <c r="E16" s="39" t="s">
        <v>243</v>
      </c>
      <c r="F16" s="39" t="s">
        <v>244</v>
      </c>
      <c r="G16" s="37" t="s">
        <v>245</v>
      </c>
      <c r="H16" s="37" t="s">
        <v>246</v>
      </c>
      <c r="I16" s="38" t="s">
        <v>28</v>
      </c>
      <c r="J16" s="37" t="s">
        <v>73</v>
      </c>
      <c r="K16" s="38" t="s">
        <v>28</v>
      </c>
      <c r="L16" s="37" t="s">
        <v>73</v>
      </c>
      <c r="M16" s="39" t="s">
        <v>73</v>
      </c>
      <c r="N16" s="40" t="s">
        <v>73</v>
      </c>
      <c r="O16" s="39" t="s">
        <v>74</v>
      </c>
      <c r="P16" s="39" t="s">
        <v>73</v>
      </c>
    </row>
    <row r="17" ht="48.0" customHeight="1">
      <c r="A17" s="36" t="s">
        <v>247</v>
      </c>
      <c r="B17" s="37" t="s">
        <v>248</v>
      </c>
      <c r="C17" s="37" t="s">
        <v>248</v>
      </c>
      <c r="D17" s="38" t="s">
        <v>102</v>
      </c>
      <c r="E17" s="39" t="s">
        <v>249</v>
      </c>
      <c r="F17" s="39" t="s">
        <v>250</v>
      </c>
      <c r="G17" s="37" t="s">
        <v>251</v>
      </c>
      <c r="H17" s="37" t="s">
        <v>252</v>
      </c>
      <c r="I17" s="38" t="s">
        <v>28</v>
      </c>
      <c r="J17" s="37" t="s">
        <v>73</v>
      </c>
      <c r="K17" s="38" t="s">
        <v>28</v>
      </c>
      <c r="L17" s="37" t="s">
        <v>73</v>
      </c>
      <c r="M17" s="39" t="s">
        <v>73</v>
      </c>
      <c r="N17" s="40" t="s">
        <v>73</v>
      </c>
      <c r="O17" s="39" t="s">
        <v>74</v>
      </c>
      <c r="P17" s="39" t="s">
        <v>73</v>
      </c>
    </row>
    <row r="18" ht="48.0" customHeight="1">
      <c r="A18" s="36" t="s">
        <v>253</v>
      </c>
      <c r="B18" s="37" t="s">
        <v>254</v>
      </c>
      <c r="C18" s="37" t="s">
        <v>254</v>
      </c>
      <c r="D18" s="38" t="s">
        <v>68</v>
      </c>
      <c r="E18" s="39" t="s">
        <v>255</v>
      </c>
      <c r="F18" s="39" t="s">
        <v>256</v>
      </c>
      <c r="G18" s="37" t="s">
        <v>257</v>
      </c>
      <c r="H18" s="37" t="s">
        <v>258</v>
      </c>
      <c r="I18" s="38" t="s">
        <v>28</v>
      </c>
      <c r="J18" s="37" t="s">
        <v>73</v>
      </c>
      <c r="K18" s="38" t="s">
        <v>28</v>
      </c>
      <c r="L18" s="37" t="s">
        <v>73</v>
      </c>
      <c r="M18" s="39" t="s">
        <v>73</v>
      </c>
      <c r="N18" s="40" t="s">
        <v>73</v>
      </c>
      <c r="O18" s="39" t="s">
        <v>74</v>
      </c>
      <c r="P18" s="39" t="s">
        <v>73</v>
      </c>
    </row>
    <row r="19" ht="48.0" customHeight="1">
      <c r="A19" s="36" t="s">
        <v>259</v>
      </c>
      <c r="B19" s="37" t="s">
        <v>260</v>
      </c>
      <c r="C19" s="37" t="s">
        <v>260</v>
      </c>
      <c r="D19" s="38" t="s">
        <v>68</v>
      </c>
      <c r="E19" s="39" t="s">
        <v>261</v>
      </c>
      <c r="F19" s="39" t="s">
        <v>262</v>
      </c>
      <c r="G19" s="37" t="s">
        <v>263</v>
      </c>
      <c r="H19" s="37" t="s">
        <v>264</v>
      </c>
      <c r="I19" s="38" t="s">
        <v>28</v>
      </c>
      <c r="J19" s="37" t="s">
        <v>73</v>
      </c>
      <c r="K19" s="38" t="s">
        <v>28</v>
      </c>
      <c r="L19" s="37" t="s">
        <v>73</v>
      </c>
      <c r="M19" s="39" t="s">
        <v>73</v>
      </c>
      <c r="N19" s="40" t="s">
        <v>73</v>
      </c>
      <c r="O19" s="39" t="s">
        <v>74</v>
      </c>
      <c r="P19" s="39" t="s">
        <v>73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">
    <mergeCell ref="A1:P1"/>
    <mergeCell ref="A2:P2"/>
    <mergeCell ref="B8:P8"/>
  </mergeCells>
  <conditionalFormatting sqref="K12:K19">
    <cfRule type="expression" dxfId="4" priority="1">
      <formula>EXACT(K12,"Pass")</formula>
    </cfRule>
  </conditionalFormatting>
  <conditionalFormatting sqref="K12">
    <cfRule type="expression" dxfId="4" priority="2">
      <formula>EXACT($K12,"Pass")</formula>
    </cfRule>
  </conditionalFormatting>
  <conditionalFormatting sqref="K12">
    <cfRule type="expression" dxfId="5" priority="3">
      <formula>EXACT($K12,"Fail")</formula>
    </cfRule>
  </conditionalFormatting>
  <conditionalFormatting sqref="K12">
    <cfRule type="expression" dxfId="6" priority="4">
      <formula>EXACT($K12,"Blocked")</formula>
    </cfRule>
  </conditionalFormatting>
  <conditionalFormatting sqref="K12">
    <cfRule type="expression" dxfId="7" priority="5">
      <formula>EXACT($K12,"Not Run")</formula>
    </cfRule>
  </conditionalFormatting>
  <conditionalFormatting sqref="I12">
    <cfRule type="expression" dxfId="4" priority="6">
      <formula>EXACT($I12,"Executed")</formula>
    </cfRule>
  </conditionalFormatting>
  <conditionalFormatting sqref="I12">
    <cfRule type="expression" dxfId="8" priority="7">
      <formula>EXACT($I12,"In Progress")</formula>
    </cfRule>
  </conditionalFormatting>
  <conditionalFormatting sqref="I12">
    <cfRule type="expression" dxfId="6" priority="8">
      <formula>EXACT($I12,"Blocked")</formula>
    </cfRule>
  </conditionalFormatting>
  <conditionalFormatting sqref="I12">
    <cfRule type="expression" dxfId="9" priority="9">
      <formula>EXACT($I12,"Retest")</formula>
    </cfRule>
  </conditionalFormatting>
  <conditionalFormatting sqref="I12">
    <cfRule type="expression" dxfId="7" priority="10">
      <formula>EXACT($I12,"Not Run")</formula>
    </cfRule>
  </conditionalFormatting>
  <conditionalFormatting sqref="K13">
    <cfRule type="expression" dxfId="4" priority="11">
      <formula>EXACT($K13,"Pass")</formula>
    </cfRule>
  </conditionalFormatting>
  <conditionalFormatting sqref="K13">
    <cfRule type="expression" dxfId="5" priority="12">
      <formula>EXACT($K13,"Fail")</formula>
    </cfRule>
  </conditionalFormatting>
  <conditionalFormatting sqref="K13">
    <cfRule type="expression" dxfId="6" priority="13">
      <formula>EXACT($K13,"Blocked")</formula>
    </cfRule>
  </conditionalFormatting>
  <conditionalFormatting sqref="K13">
    <cfRule type="expression" dxfId="7" priority="14">
      <formula>EXACT($K13,"Not Run")</formula>
    </cfRule>
  </conditionalFormatting>
  <conditionalFormatting sqref="I13">
    <cfRule type="expression" dxfId="4" priority="15">
      <formula>EXACT($I13,"Executed")</formula>
    </cfRule>
  </conditionalFormatting>
  <conditionalFormatting sqref="I13">
    <cfRule type="expression" dxfId="8" priority="16">
      <formula>EXACT($I13,"In Progress")</formula>
    </cfRule>
  </conditionalFormatting>
  <conditionalFormatting sqref="I13">
    <cfRule type="expression" dxfId="6" priority="17">
      <formula>EXACT($I13,"Blocked")</formula>
    </cfRule>
  </conditionalFormatting>
  <conditionalFormatting sqref="I13">
    <cfRule type="expression" dxfId="9" priority="18">
      <formula>EXACT($I13,"Retest")</formula>
    </cfRule>
  </conditionalFormatting>
  <conditionalFormatting sqref="I13">
    <cfRule type="expression" dxfId="7" priority="19">
      <formula>EXACT($I13,"Not Run")</formula>
    </cfRule>
  </conditionalFormatting>
  <conditionalFormatting sqref="K14">
    <cfRule type="expression" dxfId="4" priority="20">
      <formula>EXACT($K14,"Pass")</formula>
    </cfRule>
  </conditionalFormatting>
  <conditionalFormatting sqref="K14">
    <cfRule type="expression" dxfId="5" priority="21">
      <formula>EXACT($K14,"Fail")</formula>
    </cfRule>
  </conditionalFormatting>
  <conditionalFormatting sqref="K14">
    <cfRule type="expression" dxfId="6" priority="22">
      <formula>EXACT($K14,"Blocked")</formula>
    </cfRule>
  </conditionalFormatting>
  <conditionalFormatting sqref="K14">
    <cfRule type="expression" dxfId="7" priority="23">
      <formula>EXACT($K14,"Not Run")</formula>
    </cfRule>
  </conditionalFormatting>
  <conditionalFormatting sqref="I14">
    <cfRule type="expression" dxfId="4" priority="24">
      <formula>EXACT($I14,"Executed")</formula>
    </cfRule>
  </conditionalFormatting>
  <conditionalFormatting sqref="I14">
    <cfRule type="expression" dxfId="8" priority="25">
      <formula>EXACT($I14,"In Progress")</formula>
    </cfRule>
  </conditionalFormatting>
  <conditionalFormatting sqref="I14">
    <cfRule type="expression" dxfId="6" priority="26">
      <formula>EXACT($I14,"Blocked")</formula>
    </cfRule>
  </conditionalFormatting>
  <conditionalFormatting sqref="I14">
    <cfRule type="expression" dxfId="9" priority="27">
      <formula>EXACT($I14,"Retest")</formula>
    </cfRule>
  </conditionalFormatting>
  <conditionalFormatting sqref="I14">
    <cfRule type="expression" dxfId="7" priority="28">
      <formula>EXACT($I14,"Not Run")</formula>
    </cfRule>
  </conditionalFormatting>
  <conditionalFormatting sqref="K15">
    <cfRule type="expression" dxfId="4" priority="29">
      <formula>EXACT($K15,"Pass")</formula>
    </cfRule>
  </conditionalFormatting>
  <conditionalFormatting sqref="K15">
    <cfRule type="expression" dxfId="5" priority="30">
      <formula>EXACT($K15,"Fail")</formula>
    </cfRule>
  </conditionalFormatting>
  <conditionalFormatting sqref="K15">
    <cfRule type="expression" dxfId="6" priority="31">
      <formula>EXACT($K15,"Blocked")</formula>
    </cfRule>
  </conditionalFormatting>
  <conditionalFormatting sqref="K15">
    <cfRule type="expression" dxfId="7" priority="32">
      <formula>EXACT($K15,"Not Run")</formula>
    </cfRule>
  </conditionalFormatting>
  <conditionalFormatting sqref="I15">
    <cfRule type="expression" dxfId="4" priority="33">
      <formula>EXACT($I15,"Executed")</formula>
    </cfRule>
  </conditionalFormatting>
  <conditionalFormatting sqref="I15">
    <cfRule type="expression" dxfId="8" priority="34">
      <formula>EXACT($I15,"In Progress")</formula>
    </cfRule>
  </conditionalFormatting>
  <conditionalFormatting sqref="I15">
    <cfRule type="expression" dxfId="6" priority="35">
      <formula>EXACT($I15,"Blocked")</formula>
    </cfRule>
  </conditionalFormatting>
  <conditionalFormatting sqref="I15">
    <cfRule type="expression" dxfId="9" priority="36">
      <formula>EXACT($I15,"Retest")</formula>
    </cfRule>
  </conditionalFormatting>
  <conditionalFormatting sqref="I15">
    <cfRule type="expression" dxfId="7" priority="37">
      <formula>EXACT($I15,"Not Run")</formula>
    </cfRule>
  </conditionalFormatting>
  <conditionalFormatting sqref="K16">
    <cfRule type="expression" dxfId="4" priority="38">
      <formula>EXACT($K16,"Pass")</formula>
    </cfRule>
  </conditionalFormatting>
  <conditionalFormatting sqref="K16">
    <cfRule type="expression" dxfId="5" priority="39">
      <formula>EXACT($K16,"Fail")</formula>
    </cfRule>
  </conditionalFormatting>
  <conditionalFormatting sqref="K16">
    <cfRule type="expression" dxfId="6" priority="40">
      <formula>EXACT($K16,"Blocked")</formula>
    </cfRule>
  </conditionalFormatting>
  <conditionalFormatting sqref="K16">
    <cfRule type="expression" dxfId="7" priority="41">
      <formula>EXACT($K16,"Not Run")</formula>
    </cfRule>
  </conditionalFormatting>
  <conditionalFormatting sqref="I16">
    <cfRule type="expression" dxfId="4" priority="42">
      <formula>EXACT($I16,"Executed")</formula>
    </cfRule>
  </conditionalFormatting>
  <conditionalFormatting sqref="I16">
    <cfRule type="expression" dxfId="8" priority="43">
      <formula>EXACT($I16,"In Progress")</formula>
    </cfRule>
  </conditionalFormatting>
  <conditionalFormatting sqref="I16">
    <cfRule type="expression" dxfId="6" priority="44">
      <formula>EXACT($I16,"Blocked")</formula>
    </cfRule>
  </conditionalFormatting>
  <conditionalFormatting sqref="I16">
    <cfRule type="expression" dxfId="9" priority="45">
      <formula>EXACT($I16,"Retest")</formula>
    </cfRule>
  </conditionalFormatting>
  <conditionalFormatting sqref="I16">
    <cfRule type="expression" dxfId="7" priority="46">
      <formula>EXACT($I16,"Not Run")</formula>
    </cfRule>
  </conditionalFormatting>
  <conditionalFormatting sqref="K17">
    <cfRule type="expression" dxfId="4" priority="47">
      <formula>EXACT($K17,"Pass")</formula>
    </cfRule>
  </conditionalFormatting>
  <conditionalFormatting sqref="K17">
    <cfRule type="expression" dxfId="5" priority="48">
      <formula>EXACT($K17,"Fail")</formula>
    </cfRule>
  </conditionalFormatting>
  <conditionalFormatting sqref="K17">
    <cfRule type="expression" dxfId="6" priority="49">
      <formula>EXACT($K17,"Blocked")</formula>
    </cfRule>
  </conditionalFormatting>
  <conditionalFormatting sqref="K17">
    <cfRule type="expression" dxfId="7" priority="50">
      <formula>EXACT($K17,"Not Run")</formula>
    </cfRule>
  </conditionalFormatting>
  <conditionalFormatting sqref="I17">
    <cfRule type="expression" dxfId="4" priority="51">
      <formula>EXACT($I17,"Executed")</formula>
    </cfRule>
  </conditionalFormatting>
  <conditionalFormatting sqref="I17">
    <cfRule type="expression" dxfId="8" priority="52">
      <formula>EXACT($I17,"In Progress")</formula>
    </cfRule>
  </conditionalFormatting>
  <conditionalFormatting sqref="I17">
    <cfRule type="expression" dxfId="6" priority="53">
      <formula>EXACT($I17,"Blocked")</formula>
    </cfRule>
  </conditionalFormatting>
  <conditionalFormatting sqref="I17">
    <cfRule type="expression" dxfId="9" priority="54">
      <formula>EXACT($I17,"Retest")</formula>
    </cfRule>
  </conditionalFormatting>
  <conditionalFormatting sqref="I17">
    <cfRule type="expression" dxfId="7" priority="55">
      <formula>EXACT($I17,"Not Run")</formula>
    </cfRule>
  </conditionalFormatting>
  <conditionalFormatting sqref="K18">
    <cfRule type="expression" dxfId="4" priority="56">
      <formula>EXACT($K18,"Pass")</formula>
    </cfRule>
  </conditionalFormatting>
  <conditionalFormatting sqref="K18">
    <cfRule type="expression" dxfId="5" priority="57">
      <formula>EXACT($K18,"Fail")</formula>
    </cfRule>
  </conditionalFormatting>
  <conditionalFormatting sqref="K18">
    <cfRule type="expression" dxfId="6" priority="58">
      <formula>EXACT($K18,"Blocked")</formula>
    </cfRule>
  </conditionalFormatting>
  <conditionalFormatting sqref="K18">
    <cfRule type="expression" dxfId="7" priority="59">
      <formula>EXACT($K18,"Not Run")</formula>
    </cfRule>
  </conditionalFormatting>
  <conditionalFormatting sqref="I18">
    <cfRule type="expression" dxfId="4" priority="60">
      <formula>EXACT($I18,"Executed")</formula>
    </cfRule>
  </conditionalFormatting>
  <conditionalFormatting sqref="I18">
    <cfRule type="expression" dxfId="8" priority="61">
      <formula>EXACT($I18,"In Progress")</formula>
    </cfRule>
  </conditionalFormatting>
  <conditionalFormatting sqref="I18">
    <cfRule type="expression" dxfId="6" priority="62">
      <formula>EXACT($I18,"Blocked")</formula>
    </cfRule>
  </conditionalFormatting>
  <conditionalFormatting sqref="I18">
    <cfRule type="expression" dxfId="9" priority="63">
      <formula>EXACT($I18,"Retest")</formula>
    </cfRule>
  </conditionalFormatting>
  <conditionalFormatting sqref="I18">
    <cfRule type="expression" dxfId="7" priority="64">
      <formula>EXACT($I18,"Not Run")</formula>
    </cfRule>
  </conditionalFormatting>
  <conditionalFormatting sqref="K19">
    <cfRule type="expression" dxfId="4" priority="65">
      <formula>EXACT($K19,"Pass")</formula>
    </cfRule>
  </conditionalFormatting>
  <conditionalFormatting sqref="K19">
    <cfRule type="expression" dxfId="5" priority="66">
      <formula>EXACT($K19,"Fail")</formula>
    </cfRule>
  </conditionalFormatting>
  <conditionalFormatting sqref="K19">
    <cfRule type="expression" dxfId="6" priority="67">
      <formula>EXACT($K19,"Blocked")</formula>
    </cfRule>
  </conditionalFormatting>
  <conditionalFormatting sqref="K19">
    <cfRule type="expression" dxfId="7" priority="68">
      <formula>EXACT($K19,"Not Run")</formula>
    </cfRule>
  </conditionalFormatting>
  <conditionalFormatting sqref="I19">
    <cfRule type="expression" dxfId="4" priority="69">
      <formula>EXACT($I19,"Executed")</formula>
    </cfRule>
  </conditionalFormatting>
  <conditionalFormatting sqref="I19">
    <cfRule type="expression" dxfId="8" priority="70">
      <formula>EXACT($I19,"In Progress")</formula>
    </cfRule>
  </conditionalFormatting>
  <conditionalFormatting sqref="I19">
    <cfRule type="expression" dxfId="6" priority="71">
      <formula>EXACT($I19,"Blocked")</formula>
    </cfRule>
  </conditionalFormatting>
  <conditionalFormatting sqref="I19">
    <cfRule type="expression" dxfId="9" priority="72">
      <formula>EXACT($I19,"Retest")</formula>
    </cfRule>
  </conditionalFormatting>
  <conditionalFormatting sqref="I19">
    <cfRule type="expression" dxfId="7" priority="73">
      <formula>EXACT($I19,"Not Run")</formula>
    </cfRule>
  </conditionalFormatting>
  <conditionalFormatting sqref="D12">
    <cfRule type="expression" dxfId="10" priority="74">
      <formula>EXACT($D12,"Critical")</formula>
    </cfRule>
  </conditionalFormatting>
  <conditionalFormatting sqref="D12">
    <cfRule type="expression" dxfId="11" priority="75">
      <formula>EXACT($D12,"High")</formula>
    </cfRule>
  </conditionalFormatting>
  <conditionalFormatting sqref="D12">
    <cfRule type="expression" dxfId="6" priority="76">
      <formula>EXACT($D12,"Medium")</formula>
    </cfRule>
  </conditionalFormatting>
  <conditionalFormatting sqref="D12">
    <cfRule type="expression" dxfId="12" priority="77">
      <formula>EXACT($D12,"Low")</formula>
    </cfRule>
  </conditionalFormatting>
  <conditionalFormatting sqref="D13">
    <cfRule type="expression" dxfId="10" priority="78">
      <formula>EXACT($D13,"Critical")</formula>
    </cfRule>
  </conditionalFormatting>
  <conditionalFormatting sqref="D13">
    <cfRule type="expression" dxfId="11" priority="79">
      <formula>EXACT($D13,"High")</formula>
    </cfRule>
  </conditionalFormatting>
  <conditionalFormatting sqref="D13">
    <cfRule type="expression" dxfId="6" priority="80">
      <formula>EXACT($D13,"Medium")</formula>
    </cfRule>
  </conditionalFormatting>
  <conditionalFormatting sqref="D13">
    <cfRule type="expression" dxfId="12" priority="81">
      <formula>EXACT($D13,"Low")</formula>
    </cfRule>
  </conditionalFormatting>
  <conditionalFormatting sqref="D14">
    <cfRule type="expression" dxfId="10" priority="82">
      <formula>EXACT($D14,"Critical")</formula>
    </cfRule>
  </conditionalFormatting>
  <conditionalFormatting sqref="D14">
    <cfRule type="expression" dxfId="11" priority="83">
      <formula>EXACT($D14,"High")</formula>
    </cfRule>
  </conditionalFormatting>
  <conditionalFormatting sqref="D14">
    <cfRule type="expression" dxfId="6" priority="84">
      <formula>EXACT($D14,"Medium")</formula>
    </cfRule>
  </conditionalFormatting>
  <conditionalFormatting sqref="D14">
    <cfRule type="expression" dxfId="12" priority="85">
      <formula>EXACT($D14,"Low")</formula>
    </cfRule>
  </conditionalFormatting>
  <conditionalFormatting sqref="D15">
    <cfRule type="expression" dxfId="10" priority="86">
      <formula>EXACT($D15,"Critical")</formula>
    </cfRule>
  </conditionalFormatting>
  <conditionalFormatting sqref="D15">
    <cfRule type="expression" dxfId="11" priority="87">
      <formula>EXACT($D15,"High")</formula>
    </cfRule>
  </conditionalFormatting>
  <conditionalFormatting sqref="D15">
    <cfRule type="expression" dxfId="6" priority="88">
      <formula>EXACT($D15,"Medium")</formula>
    </cfRule>
  </conditionalFormatting>
  <conditionalFormatting sqref="D15">
    <cfRule type="expression" dxfId="12" priority="89">
      <formula>EXACT($D15,"Low")</formula>
    </cfRule>
  </conditionalFormatting>
  <conditionalFormatting sqref="D16">
    <cfRule type="expression" dxfId="10" priority="90">
      <formula>EXACT($D16,"Critical")</formula>
    </cfRule>
  </conditionalFormatting>
  <conditionalFormatting sqref="D16">
    <cfRule type="expression" dxfId="11" priority="91">
      <formula>EXACT($D16,"High")</formula>
    </cfRule>
  </conditionalFormatting>
  <conditionalFormatting sqref="D16">
    <cfRule type="expression" dxfId="6" priority="92">
      <formula>EXACT($D16,"Medium")</formula>
    </cfRule>
  </conditionalFormatting>
  <conditionalFormatting sqref="D16">
    <cfRule type="expression" dxfId="12" priority="93">
      <formula>EXACT($D16,"Low")</formula>
    </cfRule>
  </conditionalFormatting>
  <conditionalFormatting sqref="D17">
    <cfRule type="expression" dxfId="10" priority="94">
      <formula>EXACT($D17,"Critical")</formula>
    </cfRule>
  </conditionalFormatting>
  <conditionalFormatting sqref="D17">
    <cfRule type="expression" dxfId="11" priority="95">
      <formula>EXACT($D17,"High")</formula>
    </cfRule>
  </conditionalFormatting>
  <conditionalFormatting sqref="D17">
    <cfRule type="expression" dxfId="6" priority="96">
      <formula>EXACT($D17,"Medium")</formula>
    </cfRule>
  </conditionalFormatting>
  <conditionalFormatting sqref="D17">
    <cfRule type="expression" dxfId="12" priority="97">
      <formula>EXACT($D17,"Low")</formula>
    </cfRule>
  </conditionalFormatting>
  <conditionalFormatting sqref="D18">
    <cfRule type="expression" dxfId="10" priority="98">
      <formula>EXACT($D18,"Critical")</formula>
    </cfRule>
  </conditionalFormatting>
  <conditionalFormatting sqref="D18">
    <cfRule type="expression" dxfId="11" priority="99">
      <formula>EXACT($D18,"High")</formula>
    </cfRule>
  </conditionalFormatting>
  <conditionalFormatting sqref="D18">
    <cfRule type="expression" dxfId="6" priority="100">
      <formula>EXACT($D18,"Medium")</formula>
    </cfRule>
  </conditionalFormatting>
  <conditionalFormatting sqref="D18">
    <cfRule type="expression" dxfId="12" priority="101">
      <formula>EXACT($D18,"Low")</formula>
    </cfRule>
  </conditionalFormatting>
  <conditionalFormatting sqref="D19">
    <cfRule type="expression" dxfId="10" priority="102">
      <formula>EXACT($D19,"Critical")</formula>
    </cfRule>
  </conditionalFormatting>
  <conditionalFormatting sqref="D19">
    <cfRule type="expression" dxfId="11" priority="103">
      <formula>EXACT($D19,"High")</formula>
    </cfRule>
  </conditionalFormatting>
  <conditionalFormatting sqref="D19">
    <cfRule type="expression" dxfId="6" priority="104">
      <formula>EXACT($D19,"Medium")</formula>
    </cfRule>
  </conditionalFormatting>
  <conditionalFormatting sqref="D19">
    <cfRule type="expression" dxfId="12" priority="105">
      <formula>EXACT($D19,"Low")</formula>
    </cfRule>
  </conditionalFormatting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12.0"/>
    <col customWidth="1" min="2" max="2" width="35.0"/>
    <col customWidth="1" min="3" max="3" width="28.0"/>
    <col customWidth="1" min="4" max="4" width="12.0"/>
    <col customWidth="1" min="5" max="5" width="34.0"/>
    <col customWidth="1" min="6" max="6" width="24.0"/>
    <col customWidth="1" min="7" max="8" width="40.0"/>
    <col customWidth="1" min="9" max="9" width="16.0"/>
    <col customWidth="1" min="10" max="10" width="28.0"/>
    <col customWidth="1" min="11" max="11" width="14.0"/>
    <col customWidth="1" min="12" max="12" width="13.0"/>
    <col customWidth="1" min="13" max="15" width="14.0"/>
    <col customWidth="1" min="16" max="16" width="24.0"/>
    <col customWidth="1" min="17" max="26" width="8.71"/>
  </cols>
  <sheetData>
    <row r="1" ht="24.0" customHeight="1">
      <c r="A1" s="1" t="s">
        <v>265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3"/>
    </row>
    <row r="2" ht="19.5" customHeight="1">
      <c r="A2" s="4" t="s">
        <v>42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3"/>
    </row>
    <row r="4">
      <c r="A4" s="25" t="s">
        <v>36</v>
      </c>
      <c r="B4" s="26" t="s">
        <v>29</v>
      </c>
      <c r="D4" s="27" t="s">
        <v>43</v>
      </c>
      <c r="E4" s="28">
        <f>COUNTA($A$12:$A$200)</f>
        <v>8</v>
      </c>
      <c r="G4" s="27" t="s">
        <v>38</v>
      </c>
      <c r="H4" s="29">
        <f>IF(E4=0,0,E5/E4)</f>
        <v>0</v>
      </c>
    </row>
    <row r="5">
      <c r="A5" s="25" t="s">
        <v>44</v>
      </c>
      <c r="B5" s="26" t="s">
        <v>45</v>
      </c>
      <c r="D5" s="27" t="s">
        <v>19</v>
      </c>
      <c r="E5" s="28">
        <f>COUNTIF($K$12:$K$200,"Pass")</f>
        <v>0</v>
      </c>
      <c r="G5" s="27" t="s">
        <v>25</v>
      </c>
      <c r="H5" s="28">
        <f>COUNTIF($K$12:$K$200,"Blocked")</f>
        <v>0</v>
      </c>
    </row>
    <row r="6">
      <c r="A6" s="25" t="s">
        <v>46</v>
      </c>
      <c r="B6" s="26" t="s">
        <v>47</v>
      </c>
      <c r="D6" s="27" t="s">
        <v>22</v>
      </c>
      <c r="E6" s="28">
        <f>COUNTIF($K$12:$K$200,"Fail")</f>
        <v>0</v>
      </c>
      <c r="G6" s="27" t="s">
        <v>28</v>
      </c>
      <c r="H6" s="28">
        <f>COUNTIF($K$12:$K$200,"Not Run")</f>
        <v>8</v>
      </c>
    </row>
    <row r="8">
      <c r="A8" s="30" t="s">
        <v>48</v>
      </c>
      <c r="B8" s="31" t="s">
        <v>49</v>
      </c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3"/>
    </row>
    <row r="10" ht="30.0" customHeight="1">
      <c r="A10" s="34" t="s">
        <v>50</v>
      </c>
      <c r="B10" s="34" t="s">
        <v>51</v>
      </c>
      <c r="C10" s="34" t="s">
        <v>52</v>
      </c>
      <c r="D10" s="34" t="s">
        <v>53</v>
      </c>
      <c r="E10" s="34" t="s">
        <v>54</v>
      </c>
      <c r="F10" s="34" t="s">
        <v>55</v>
      </c>
      <c r="G10" s="34" t="s">
        <v>56</v>
      </c>
      <c r="H10" s="34" t="s">
        <v>57</v>
      </c>
      <c r="I10" s="34" t="s">
        <v>58</v>
      </c>
      <c r="J10" s="34" t="s">
        <v>59</v>
      </c>
      <c r="K10" s="34" t="s">
        <v>60</v>
      </c>
      <c r="L10" s="34" t="s">
        <v>61</v>
      </c>
      <c r="M10" s="34" t="s">
        <v>62</v>
      </c>
      <c r="N10" s="34" t="s">
        <v>63</v>
      </c>
      <c r="O10" s="34" t="s">
        <v>64</v>
      </c>
      <c r="P10" s="34" t="s">
        <v>65</v>
      </c>
    </row>
    <row r="11">
      <c r="A11" s="35"/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</row>
    <row r="12" ht="48.0" customHeight="1">
      <c r="A12" s="36" t="s">
        <v>266</v>
      </c>
      <c r="B12" s="37" t="s">
        <v>267</v>
      </c>
      <c r="C12" s="37" t="s">
        <v>267</v>
      </c>
      <c r="D12" s="38" t="s">
        <v>102</v>
      </c>
      <c r="E12" s="39" t="s">
        <v>268</v>
      </c>
      <c r="F12" s="39" t="s">
        <v>269</v>
      </c>
      <c r="G12" s="37" t="s">
        <v>270</v>
      </c>
      <c r="H12" s="37" t="s">
        <v>271</v>
      </c>
      <c r="I12" s="38" t="s">
        <v>28</v>
      </c>
      <c r="J12" s="37" t="s">
        <v>73</v>
      </c>
      <c r="K12" s="38" t="s">
        <v>28</v>
      </c>
      <c r="L12" s="37" t="s">
        <v>73</v>
      </c>
      <c r="M12" s="39" t="s">
        <v>73</v>
      </c>
      <c r="N12" s="40" t="s">
        <v>73</v>
      </c>
      <c r="O12" s="39" t="s">
        <v>74</v>
      </c>
      <c r="P12" s="39" t="s">
        <v>73</v>
      </c>
    </row>
    <row r="13" ht="48.0" customHeight="1">
      <c r="A13" s="36" t="s">
        <v>272</v>
      </c>
      <c r="B13" s="37" t="s">
        <v>273</v>
      </c>
      <c r="C13" s="37" t="s">
        <v>273</v>
      </c>
      <c r="D13" s="38" t="s">
        <v>102</v>
      </c>
      <c r="E13" s="39" t="s">
        <v>274</v>
      </c>
      <c r="F13" s="39" t="s">
        <v>275</v>
      </c>
      <c r="G13" s="37" t="s">
        <v>276</v>
      </c>
      <c r="H13" s="37" t="s">
        <v>277</v>
      </c>
      <c r="I13" s="38" t="s">
        <v>28</v>
      </c>
      <c r="J13" s="37" t="s">
        <v>73</v>
      </c>
      <c r="K13" s="38" t="s">
        <v>28</v>
      </c>
      <c r="L13" s="37" t="s">
        <v>73</v>
      </c>
      <c r="M13" s="39" t="s">
        <v>73</v>
      </c>
      <c r="N13" s="40" t="s">
        <v>73</v>
      </c>
      <c r="O13" s="39" t="s">
        <v>74</v>
      </c>
      <c r="P13" s="39" t="s">
        <v>73</v>
      </c>
    </row>
    <row r="14" ht="48.0" customHeight="1">
      <c r="A14" s="36" t="s">
        <v>278</v>
      </c>
      <c r="B14" s="37" t="s">
        <v>279</v>
      </c>
      <c r="C14" s="37" t="s">
        <v>279</v>
      </c>
      <c r="D14" s="38" t="s">
        <v>102</v>
      </c>
      <c r="E14" s="39" t="s">
        <v>280</v>
      </c>
      <c r="F14" s="39" t="s">
        <v>281</v>
      </c>
      <c r="G14" s="37" t="s">
        <v>282</v>
      </c>
      <c r="H14" s="37" t="s">
        <v>283</v>
      </c>
      <c r="I14" s="38" t="s">
        <v>28</v>
      </c>
      <c r="J14" s="37" t="s">
        <v>73</v>
      </c>
      <c r="K14" s="38" t="s">
        <v>28</v>
      </c>
      <c r="L14" s="37" t="s">
        <v>73</v>
      </c>
      <c r="M14" s="39" t="s">
        <v>73</v>
      </c>
      <c r="N14" s="40" t="s">
        <v>73</v>
      </c>
      <c r="O14" s="39" t="s">
        <v>74</v>
      </c>
      <c r="P14" s="39" t="s">
        <v>73</v>
      </c>
    </row>
    <row r="15" ht="48.0" customHeight="1">
      <c r="A15" s="36" t="s">
        <v>284</v>
      </c>
      <c r="B15" s="37" t="s">
        <v>285</v>
      </c>
      <c r="C15" s="37" t="s">
        <v>285</v>
      </c>
      <c r="D15" s="38" t="s">
        <v>68</v>
      </c>
      <c r="E15" s="39" t="s">
        <v>286</v>
      </c>
      <c r="F15" s="39" t="s">
        <v>287</v>
      </c>
      <c r="G15" s="37" t="s">
        <v>288</v>
      </c>
      <c r="H15" s="37" t="s">
        <v>289</v>
      </c>
      <c r="I15" s="38" t="s">
        <v>28</v>
      </c>
      <c r="J15" s="37" t="s">
        <v>73</v>
      </c>
      <c r="K15" s="38" t="s">
        <v>28</v>
      </c>
      <c r="L15" s="37" t="s">
        <v>73</v>
      </c>
      <c r="M15" s="39" t="s">
        <v>73</v>
      </c>
      <c r="N15" s="40" t="s">
        <v>73</v>
      </c>
      <c r="O15" s="39" t="s">
        <v>74</v>
      </c>
      <c r="P15" s="39" t="s">
        <v>73</v>
      </c>
    </row>
    <row r="16" ht="48.0" customHeight="1">
      <c r="A16" s="36" t="s">
        <v>290</v>
      </c>
      <c r="B16" s="37" t="s">
        <v>291</v>
      </c>
      <c r="C16" s="37" t="s">
        <v>291</v>
      </c>
      <c r="D16" s="38" t="s">
        <v>68</v>
      </c>
      <c r="E16" s="39" t="s">
        <v>292</v>
      </c>
      <c r="F16" s="39" t="s">
        <v>293</v>
      </c>
      <c r="G16" s="37" t="s">
        <v>294</v>
      </c>
      <c r="H16" s="37" t="s">
        <v>295</v>
      </c>
      <c r="I16" s="38" t="s">
        <v>28</v>
      </c>
      <c r="J16" s="37" t="s">
        <v>73</v>
      </c>
      <c r="K16" s="38" t="s">
        <v>28</v>
      </c>
      <c r="L16" s="37" t="s">
        <v>73</v>
      </c>
      <c r="M16" s="39" t="s">
        <v>73</v>
      </c>
      <c r="N16" s="40" t="s">
        <v>73</v>
      </c>
      <c r="O16" s="39" t="s">
        <v>74</v>
      </c>
      <c r="P16" s="39" t="s">
        <v>73</v>
      </c>
    </row>
    <row r="17" ht="48.0" customHeight="1">
      <c r="A17" s="36" t="s">
        <v>296</v>
      </c>
      <c r="B17" s="37" t="s">
        <v>297</v>
      </c>
      <c r="C17" s="37" t="s">
        <v>297</v>
      </c>
      <c r="D17" s="38" t="s">
        <v>68</v>
      </c>
      <c r="E17" s="39" t="s">
        <v>298</v>
      </c>
      <c r="F17" s="39" t="s">
        <v>299</v>
      </c>
      <c r="G17" s="37" t="s">
        <v>300</v>
      </c>
      <c r="H17" s="37" t="s">
        <v>301</v>
      </c>
      <c r="I17" s="38" t="s">
        <v>28</v>
      </c>
      <c r="J17" s="37" t="s">
        <v>73</v>
      </c>
      <c r="K17" s="38" t="s">
        <v>28</v>
      </c>
      <c r="L17" s="37" t="s">
        <v>73</v>
      </c>
      <c r="M17" s="39" t="s">
        <v>73</v>
      </c>
      <c r="N17" s="40" t="s">
        <v>73</v>
      </c>
      <c r="O17" s="39" t="s">
        <v>74</v>
      </c>
      <c r="P17" s="39" t="s">
        <v>73</v>
      </c>
    </row>
    <row r="18" ht="48.0" customHeight="1">
      <c r="A18" s="36" t="s">
        <v>302</v>
      </c>
      <c r="B18" s="37" t="s">
        <v>303</v>
      </c>
      <c r="C18" s="37" t="s">
        <v>303</v>
      </c>
      <c r="D18" s="38" t="s">
        <v>102</v>
      </c>
      <c r="E18" s="39" t="s">
        <v>304</v>
      </c>
      <c r="F18" s="39" t="s">
        <v>305</v>
      </c>
      <c r="G18" s="37" t="s">
        <v>306</v>
      </c>
      <c r="H18" s="37" t="s">
        <v>307</v>
      </c>
      <c r="I18" s="38" t="s">
        <v>28</v>
      </c>
      <c r="J18" s="37" t="s">
        <v>73</v>
      </c>
      <c r="K18" s="38" t="s">
        <v>28</v>
      </c>
      <c r="L18" s="37" t="s">
        <v>73</v>
      </c>
      <c r="M18" s="39" t="s">
        <v>73</v>
      </c>
      <c r="N18" s="40" t="s">
        <v>73</v>
      </c>
      <c r="O18" s="39" t="s">
        <v>74</v>
      </c>
      <c r="P18" s="39" t="s">
        <v>73</v>
      </c>
    </row>
    <row r="19" ht="48.0" customHeight="1">
      <c r="A19" s="36" t="s">
        <v>308</v>
      </c>
      <c r="B19" s="37" t="s">
        <v>309</v>
      </c>
      <c r="C19" s="37" t="s">
        <v>309</v>
      </c>
      <c r="D19" s="38" t="s">
        <v>102</v>
      </c>
      <c r="E19" s="39" t="s">
        <v>310</v>
      </c>
      <c r="F19" s="39" t="s">
        <v>311</v>
      </c>
      <c r="G19" s="37" t="s">
        <v>312</v>
      </c>
      <c r="H19" s="37" t="s">
        <v>313</v>
      </c>
      <c r="I19" s="38" t="s">
        <v>28</v>
      </c>
      <c r="J19" s="37" t="s">
        <v>73</v>
      </c>
      <c r="K19" s="38" t="s">
        <v>28</v>
      </c>
      <c r="L19" s="37" t="s">
        <v>73</v>
      </c>
      <c r="M19" s="39" t="s">
        <v>73</v>
      </c>
      <c r="N19" s="40" t="s">
        <v>73</v>
      </c>
      <c r="O19" s="39" t="s">
        <v>74</v>
      </c>
      <c r="P19" s="39" t="s">
        <v>73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">
    <mergeCell ref="A1:P1"/>
    <mergeCell ref="A2:P2"/>
    <mergeCell ref="B8:P8"/>
  </mergeCells>
  <conditionalFormatting sqref="K12:K19">
    <cfRule type="expression" dxfId="4" priority="1">
      <formula>EXACT(K12,"Pass")</formula>
    </cfRule>
  </conditionalFormatting>
  <conditionalFormatting sqref="K12">
    <cfRule type="expression" dxfId="4" priority="2">
      <formula>EXACT($K12,"Pass")</formula>
    </cfRule>
  </conditionalFormatting>
  <conditionalFormatting sqref="K12">
    <cfRule type="expression" dxfId="5" priority="3">
      <formula>EXACT($K12,"Fail")</formula>
    </cfRule>
  </conditionalFormatting>
  <conditionalFormatting sqref="K12">
    <cfRule type="expression" dxfId="6" priority="4">
      <formula>EXACT($K12,"Blocked")</formula>
    </cfRule>
  </conditionalFormatting>
  <conditionalFormatting sqref="K12">
    <cfRule type="expression" dxfId="7" priority="5">
      <formula>EXACT($K12,"Not Run")</formula>
    </cfRule>
  </conditionalFormatting>
  <conditionalFormatting sqref="I12">
    <cfRule type="expression" dxfId="4" priority="6">
      <formula>EXACT($I12,"Executed")</formula>
    </cfRule>
  </conditionalFormatting>
  <conditionalFormatting sqref="I12">
    <cfRule type="expression" dxfId="8" priority="7">
      <formula>EXACT($I12,"In Progress")</formula>
    </cfRule>
  </conditionalFormatting>
  <conditionalFormatting sqref="I12">
    <cfRule type="expression" dxfId="6" priority="8">
      <formula>EXACT($I12,"Blocked")</formula>
    </cfRule>
  </conditionalFormatting>
  <conditionalFormatting sqref="I12">
    <cfRule type="expression" dxfId="9" priority="9">
      <formula>EXACT($I12,"Retest")</formula>
    </cfRule>
  </conditionalFormatting>
  <conditionalFormatting sqref="I12">
    <cfRule type="expression" dxfId="7" priority="10">
      <formula>EXACT($I12,"Not Run")</formula>
    </cfRule>
  </conditionalFormatting>
  <conditionalFormatting sqref="K13">
    <cfRule type="expression" dxfId="4" priority="11">
      <formula>EXACT($K13,"Pass")</formula>
    </cfRule>
  </conditionalFormatting>
  <conditionalFormatting sqref="K13">
    <cfRule type="expression" dxfId="5" priority="12">
      <formula>EXACT($K13,"Fail")</formula>
    </cfRule>
  </conditionalFormatting>
  <conditionalFormatting sqref="K13">
    <cfRule type="expression" dxfId="6" priority="13">
      <formula>EXACT($K13,"Blocked")</formula>
    </cfRule>
  </conditionalFormatting>
  <conditionalFormatting sqref="K13">
    <cfRule type="expression" dxfId="7" priority="14">
      <formula>EXACT($K13,"Not Run")</formula>
    </cfRule>
  </conditionalFormatting>
  <conditionalFormatting sqref="I13">
    <cfRule type="expression" dxfId="4" priority="15">
      <formula>EXACT($I13,"Executed")</formula>
    </cfRule>
  </conditionalFormatting>
  <conditionalFormatting sqref="I13">
    <cfRule type="expression" dxfId="8" priority="16">
      <formula>EXACT($I13,"In Progress")</formula>
    </cfRule>
  </conditionalFormatting>
  <conditionalFormatting sqref="I13">
    <cfRule type="expression" dxfId="6" priority="17">
      <formula>EXACT($I13,"Blocked")</formula>
    </cfRule>
  </conditionalFormatting>
  <conditionalFormatting sqref="I13">
    <cfRule type="expression" dxfId="9" priority="18">
      <formula>EXACT($I13,"Retest")</formula>
    </cfRule>
  </conditionalFormatting>
  <conditionalFormatting sqref="I13">
    <cfRule type="expression" dxfId="7" priority="19">
      <formula>EXACT($I13,"Not Run")</formula>
    </cfRule>
  </conditionalFormatting>
  <conditionalFormatting sqref="K14">
    <cfRule type="expression" dxfId="4" priority="20">
      <formula>EXACT($K14,"Pass")</formula>
    </cfRule>
  </conditionalFormatting>
  <conditionalFormatting sqref="K14">
    <cfRule type="expression" dxfId="5" priority="21">
      <formula>EXACT($K14,"Fail")</formula>
    </cfRule>
  </conditionalFormatting>
  <conditionalFormatting sqref="K14">
    <cfRule type="expression" dxfId="6" priority="22">
      <formula>EXACT($K14,"Blocked")</formula>
    </cfRule>
  </conditionalFormatting>
  <conditionalFormatting sqref="K14">
    <cfRule type="expression" dxfId="7" priority="23">
      <formula>EXACT($K14,"Not Run")</formula>
    </cfRule>
  </conditionalFormatting>
  <conditionalFormatting sqref="I14">
    <cfRule type="expression" dxfId="4" priority="24">
      <formula>EXACT($I14,"Executed")</formula>
    </cfRule>
  </conditionalFormatting>
  <conditionalFormatting sqref="I14">
    <cfRule type="expression" dxfId="8" priority="25">
      <formula>EXACT($I14,"In Progress")</formula>
    </cfRule>
  </conditionalFormatting>
  <conditionalFormatting sqref="I14">
    <cfRule type="expression" dxfId="6" priority="26">
      <formula>EXACT($I14,"Blocked")</formula>
    </cfRule>
  </conditionalFormatting>
  <conditionalFormatting sqref="I14">
    <cfRule type="expression" dxfId="9" priority="27">
      <formula>EXACT($I14,"Retest")</formula>
    </cfRule>
  </conditionalFormatting>
  <conditionalFormatting sqref="I14">
    <cfRule type="expression" dxfId="7" priority="28">
      <formula>EXACT($I14,"Not Run")</formula>
    </cfRule>
  </conditionalFormatting>
  <conditionalFormatting sqref="K15">
    <cfRule type="expression" dxfId="4" priority="29">
      <formula>EXACT($K15,"Pass")</formula>
    </cfRule>
  </conditionalFormatting>
  <conditionalFormatting sqref="K15">
    <cfRule type="expression" dxfId="5" priority="30">
      <formula>EXACT($K15,"Fail")</formula>
    </cfRule>
  </conditionalFormatting>
  <conditionalFormatting sqref="K15">
    <cfRule type="expression" dxfId="6" priority="31">
      <formula>EXACT($K15,"Blocked")</formula>
    </cfRule>
  </conditionalFormatting>
  <conditionalFormatting sqref="K15">
    <cfRule type="expression" dxfId="7" priority="32">
      <formula>EXACT($K15,"Not Run")</formula>
    </cfRule>
  </conditionalFormatting>
  <conditionalFormatting sqref="I15">
    <cfRule type="expression" dxfId="4" priority="33">
      <formula>EXACT($I15,"Executed")</formula>
    </cfRule>
  </conditionalFormatting>
  <conditionalFormatting sqref="I15">
    <cfRule type="expression" dxfId="8" priority="34">
      <formula>EXACT($I15,"In Progress")</formula>
    </cfRule>
  </conditionalFormatting>
  <conditionalFormatting sqref="I15">
    <cfRule type="expression" dxfId="6" priority="35">
      <formula>EXACT($I15,"Blocked")</formula>
    </cfRule>
  </conditionalFormatting>
  <conditionalFormatting sqref="I15">
    <cfRule type="expression" dxfId="9" priority="36">
      <formula>EXACT($I15,"Retest")</formula>
    </cfRule>
  </conditionalFormatting>
  <conditionalFormatting sqref="I15">
    <cfRule type="expression" dxfId="7" priority="37">
      <formula>EXACT($I15,"Not Run")</formula>
    </cfRule>
  </conditionalFormatting>
  <conditionalFormatting sqref="K16">
    <cfRule type="expression" dxfId="4" priority="38">
      <formula>EXACT($K16,"Pass")</formula>
    </cfRule>
  </conditionalFormatting>
  <conditionalFormatting sqref="K16">
    <cfRule type="expression" dxfId="5" priority="39">
      <formula>EXACT($K16,"Fail")</formula>
    </cfRule>
  </conditionalFormatting>
  <conditionalFormatting sqref="K16">
    <cfRule type="expression" dxfId="6" priority="40">
      <formula>EXACT($K16,"Blocked")</formula>
    </cfRule>
  </conditionalFormatting>
  <conditionalFormatting sqref="K16">
    <cfRule type="expression" dxfId="7" priority="41">
      <formula>EXACT($K16,"Not Run")</formula>
    </cfRule>
  </conditionalFormatting>
  <conditionalFormatting sqref="I16">
    <cfRule type="expression" dxfId="4" priority="42">
      <formula>EXACT($I16,"Executed")</formula>
    </cfRule>
  </conditionalFormatting>
  <conditionalFormatting sqref="I16">
    <cfRule type="expression" dxfId="8" priority="43">
      <formula>EXACT($I16,"In Progress")</formula>
    </cfRule>
  </conditionalFormatting>
  <conditionalFormatting sqref="I16">
    <cfRule type="expression" dxfId="6" priority="44">
      <formula>EXACT($I16,"Blocked")</formula>
    </cfRule>
  </conditionalFormatting>
  <conditionalFormatting sqref="I16">
    <cfRule type="expression" dxfId="9" priority="45">
      <formula>EXACT($I16,"Retest")</formula>
    </cfRule>
  </conditionalFormatting>
  <conditionalFormatting sqref="I16">
    <cfRule type="expression" dxfId="7" priority="46">
      <formula>EXACT($I16,"Not Run")</formula>
    </cfRule>
  </conditionalFormatting>
  <conditionalFormatting sqref="K17">
    <cfRule type="expression" dxfId="4" priority="47">
      <formula>EXACT($K17,"Pass")</formula>
    </cfRule>
  </conditionalFormatting>
  <conditionalFormatting sqref="K17">
    <cfRule type="expression" dxfId="5" priority="48">
      <formula>EXACT($K17,"Fail")</formula>
    </cfRule>
  </conditionalFormatting>
  <conditionalFormatting sqref="K17">
    <cfRule type="expression" dxfId="6" priority="49">
      <formula>EXACT($K17,"Blocked")</formula>
    </cfRule>
  </conditionalFormatting>
  <conditionalFormatting sqref="K17">
    <cfRule type="expression" dxfId="7" priority="50">
      <formula>EXACT($K17,"Not Run")</formula>
    </cfRule>
  </conditionalFormatting>
  <conditionalFormatting sqref="I17">
    <cfRule type="expression" dxfId="4" priority="51">
      <formula>EXACT($I17,"Executed")</formula>
    </cfRule>
  </conditionalFormatting>
  <conditionalFormatting sqref="I17">
    <cfRule type="expression" dxfId="8" priority="52">
      <formula>EXACT($I17,"In Progress")</formula>
    </cfRule>
  </conditionalFormatting>
  <conditionalFormatting sqref="I17">
    <cfRule type="expression" dxfId="6" priority="53">
      <formula>EXACT($I17,"Blocked")</formula>
    </cfRule>
  </conditionalFormatting>
  <conditionalFormatting sqref="I17">
    <cfRule type="expression" dxfId="9" priority="54">
      <formula>EXACT($I17,"Retest")</formula>
    </cfRule>
  </conditionalFormatting>
  <conditionalFormatting sqref="I17">
    <cfRule type="expression" dxfId="7" priority="55">
      <formula>EXACT($I17,"Not Run")</formula>
    </cfRule>
  </conditionalFormatting>
  <conditionalFormatting sqref="K18">
    <cfRule type="expression" dxfId="4" priority="56">
      <formula>EXACT($K18,"Pass")</formula>
    </cfRule>
  </conditionalFormatting>
  <conditionalFormatting sqref="K18">
    <cfRule type="expression" dxfId="5" priority="57">
      <formula>EXACT($K18,"Fail")</formula>
    </cfRule>
  </conditionalFormatting>
  <conditionalFormatting sqref="K18">
    <cfRule type="expression" dxfId="6" priority="58">
      <formula>EXACT($K18,"Blocked")</formula>
    </cfRule>
  </conditionalFormatting>
  <conditionalFormatting sqref="K18">
    <cfRule type="expression" dxfId="7" priority="59">
      <formula>EXACT($K18,"Not Run")</formula>
    </cfRule>
  </conditionalFormatting>
  <conditionalFormatting sqref="I18">
    <cfRule type="expression" dxfId="4" priority="60">
      <formula>EXACT($I18,"Executed")</formula>
    </cfRule>
  </conditionalFormatting>
  <conditionalFormatting sqref="I18">
    <cfRule type="expression" dxfId="8" priority="61">
      <formula>EXACT($I18,"In Progress")</formula>
    </cfRule>
  </conditionalFormatting>
  <conditionalFormatting sqref="I18">
    <cfRule type="expression" dxfId="6" priority="62">
      <formula>EXACT($I18,"Blocked")</formula>
    </cfRule>
  </conditionalFormatting>
  <conditionalFormatting sqref="I18">
    <cfRule type="expression" dxfId="9" priority="63">
      <formula>EXACT($I18,"Retest")</formula>
    </cfRule>
  </conditionalFormatting>
  <conditionalFormatting sqref="I18">
    <cfRule type="expression" dxfId="7" priority="64">
      <formula>EXACT($I18,"Not Run")</formula>
    </cfRule>
  </conditionalFormatting>
  <conditionalFormatting sqref="K19">
    <cfRule type="expression" dxfId="4" priority="65">
      <formula>EXACT($K19,"Pass")</formula>
    </cfRule>
  </conditionalFormatting>
  <conditionalFormatting sqref="K19">
    <cfRule type="expression" dxfId="5" priority="66">
      <formula>EXACT($K19,"Fail")</formula>
    </cfRule>
  </conditionalFormatting>
  <conditionalFormatting sqref="K19">
    <cfRule type="expression" dxfId="6" priority="67">
      <formula>EXACT($K19,"Blocked")</formula>
    </cfRule>
  </conditionalFormatting>
  <conditionalFormatting sqref="K19">
    <cfRule type="expression" dxfId="7" priority="68">
      <formula>EXACT($K19,"Not Run")</formula>
    </cfRule>
  </conditionalFormatting>
  <conditionalFormatting sqref="I19">
    <cfRule type="expression" dxfId="4" priority="69">
      <formula>EXACT($I19,"Executed")</formula>
    </cfRule>
  </conditionalFormatting>
  <conditionalFormatting sqref="I19">
    <cfRule type="expression" dxfId="8" priority="70">
      <formula>EXACT($I19,"In Progress")</formula>
    </cfRule>
  </conditionalFormatting>
  <conditionalFormatting sqref="I19">
    <cfRule type="expression" dxfId="6" priority="71">
      <formula>EXACT($I19,"Blocked")</formula>
    </cfRule>
  </conditionalFormatting>
  <conditionalFormatting sqref="I19">
    <cfRule type="expression" dxfId="9" priority="72">
      <formula>EXACT($I19,"Retest")</formula>
    </cfRule>
  </conditionalFormatting>
  <conditionalFormatting sqref="I19">
    <cfRule type="expression" dxfId="7" priority="73">
      <formula>EXACT($I19,"Not Run")</formula>
    </cfRule>
  </conditionalFormatting>
  <conditionalFormatting sqref="D12">
    <cfRule type="expression" dxfId="10" priority="74">
      <formula>EXACT($D12,"Critical")</formula>
    </cfRule>
  </conditionalFormatting>
  <conditionalFormatting sqref="D12">
    <cfRule type="expression" dxfId="11" priority="75">
      <formula>EXACT($D12,"High")</formula>
    </cfRule>
  </conditionalFormatting>
  <conditionalFormatting sqref="D12">
    <cfRule type="expression" dxfId="6" priority="76">
      <formula>EXACT($D12,"Medium")</formula>
    </cfRule>
  </conditionalFormatting>
  <conditionalFormatting sqref="D12">
    <cfRule type="expression" dxfId="12" priority="77">
      <formula>EXACT($D12,"Low")</formula>
    </cfRule>
  </conditionalFormatting>
  <conditionalFormatting sqref="D13">
    <cfRule type="expression" dxfId="10" priority="78">
      <formula>EXACT($D13,"Critical")</formula>
    </cfRule>
  </conditionalFormatting>
  <conditionalFormatting sqref="D13">
    <cfRule type="expression" dxfId="11" priority="79">
      <formula>EXACT($D13,"High")</formula>
    </cfRule>
  </conditionalFormatting>
  <conditionalFormatting sqref="D13">
    <cfRule type="expression" dxfId="6" priority="80">
      <formula>EXACT($D13,"Medium")</formula>
    </cfRule>
  </conditionalFormatting>
  <conditionalFormatting sqref="D13">
    <cfRule type="expression" dxfId="12" priority="81">
      <formula>EXACT($D13,"Low")</formula>
    </cfRule>
  </conditionalFormatting>
  <conditionalFormatting sqref="D14">
    <cfRule type="expression" dxfId="10" priority="82">
      <formula>EXACT($D14,"Critical")</formula>
    </cfRule>
  </conditionalFormatting>
  <conditionalFormatting sqref="D14">
    <cfRule type="expression" dxfId="11" priority="83">
      <formula>EXACT($D14,"High")</formula>
    </cfRule>
  </conditionalFormatting>
  <conditionalFormatting sqref="D14">
    <cfRule type="expression" dxfId="6" priority="84">
      <formula>EXACT($D14,"Medium")</formula>
    </cfRule>
  </conditionalFormatting>
  <conditionalFormatting sqref="D14">
    <cfRule type="expression" dxfId="12" priority="85">
      <formula>EXACT($D14,"Low")</formula>
    </cfRule>
  </conditionalFormatting>
  <conditionalFormatting sqref="D15">
    <cfRule type="expression" dxfId="10" priority="86">
      <formula>EXACT($D15,"Critical")</formula>
    </cfRule>
  </conditionalFormatting>
  <conditionalFormatting sqref="D15">
    <cfRule type="expression" dxfId="11" priority="87">
      <formula>EXACT($D15,"High")</formula>
    </cfRule>
  </conditionalFormatting>
  <conditionalFormatting sqref="D15">
    <cfRule type="expression" dxfId="6" priority="88">
      <formula>EXACT($D15,"Medium")</formula>
    </cfRule>
  </conditionalFormatting>
  <conditionalFormatting sqref="D15">
    <cfRule type="expression" dxfId="12" priority="89">
      <formula>EXACT($D15,"Low")</formula>
    </cfRule>
  </conditionalFormatting>
  <conditionalFormatting sqref="D16">
    <cfRule type="expression" dxfId="10" priority="90">
      <formula>EXACT($D16,"Critical")</formula>
    </cfRule>
  </conditionalFormatting>
  <conditionalFormatting sqref="D16">
    <cfRule type="expression" dxfId="11" priority="91">
      <formula>EXACT($D16,"High")</formula>
    </cfRule>
  </conditionalFormatting>
  <conditionalFormatting sqref="D16">
    <cfRule type="expression" dxfId="6" priority="92">
      <formula>EXACT($D16,"Medium")</formula>
    </cfRule>
  </conditionalFormatting>
  <conditionalFormatting sqref="D16">
    <cfRule type="expression" dxfId="12" priority="93">
      <formula>EXACT($D16,"Low")</formula>
    </cfRule>
  </conditionalFormatting>
  <conditionalFormatting sqref="D17">
    <cfRule type="expression" dxfId="10" priority="94">
      <formula>EXACT($D17,"Critical")</formula>
    </cfRule>
  </conditionalFormatting>
  <conditionalFormatting sqref="D17">
    <cfRule type="expression" dxfId="11" priority="95">
      <formula>EXACT($D17,"High")</formula>
    </cfRule>
  </conditionalFormatting>
  <conditionalFormatting sqref="D17">
    <cfRule type="expression" dxfId="6" priority="96">
      <formula>EXACT($D17,"Medium")</formula>
    </cfRule>
  </conditionalFormatting>
  <conditionalFormatting sqref="D17">
    <cfRule type="expression" dxfId="12" priority="97">
      <formula>EXACT($D17,"Low")</formula>
    </cfRule>
  </conditionalFormatting>
  <conditionalFormatting sqref="D18">
    <cfRule type="expression" dxfId="10" priority="98">
      <formula>EXACT($D18,"Critical")</formula>
    </cfRule>
  </conditionalFormatting>
  <conditionalFormatting sqref="D18">
    <cfRule type="expression" dxfId="11" priority="99">
      <formula>EXACT($D18,"High")</formula>
    </cfRule>
  </conditionalFormatting>
  <conditionalFormatting sqref="D18">
    <cfRule type="expression" dxfId="6" priority="100">
      <formula>EXACT($D18,"Medium")</formula>
    </cfRule>
  </conditionalFormatting>
  <conditionalFormatting sqref="D18">
    <cfRule type="expression" dxfId="12" priority="101">
      <formula>EXACT($D18,"Low")</formula>
    </cfRule>
  </conditionalFormatting>
  <conditionalFormatting sqref="D19">
    <cfRule type="expression" dxfId="10" priority="102">
      <formula>EXACT($D19,"Critical")</formula>
    </cfRule>
  </conditionalFormatting>
  <conditionalFormatting sqref="D19">
    <cfRule type="expression" dxfId="11" priority="103">
      <formula>EXACT($D19,"High")</formula>
    </cfRule>
  </conditionalFormatting>
  <conditionalFormatting sqref="D19">
    <cfRule type="expression" dxfId="6" priority="104">
      <formula>EXACT($D19,"Medium")</formula>
    </cfRule>
  </conditionalFormatting>
  <conditionalFormatting sqref="D19">
    <cfRule type="expression" dxfId="12" priority="105">
      <formula>EXACT($D19,"Low")</formula>
    </cfRule>
  </conditionalFormatting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12.0"/>
    <col customWidth="1" min="2" max="2" width="35.0"/>
    <col customWidth="1" min="3" max="3" width="28.0"/>
    <col customWidth="1" min="4" max="4" width="12.0"/>
    <col customWidth="1" min="5" max="5" width="34.0"/>
    <col customWidth="1" min="6" max="6" width="24.0"/>
    <col customWidth="1" min="7" max="8" width="40.0"/>
    <col customWidth="1" min="9" max="9" width="16.0"/>
    <col customWidth="1" min="10" max="10" width="28.0"/>
    <col customWidth="1" min="11" max="11" width="14.0"/>
    <col customWidth="1" min="12" max="12" width="13.0"/>
    <col customWidth="1" min="13" max="15" width="14.0"/>
    <col customWidth="1" min="16" max="16" width="24.0"/>
    <col customWidth="1" min="17" max="26" width="8.71"/>
  </cols>
  <sheetData>
    <row r="1" ht="24.0" customHeight="1">
      <c r="A1" s="1" t="s">
        <v>314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3"/>
    </row>
    <row r="2" ht="19.5" customHeight="1">
      <c r="A2" s="4" t="s">
        <v>42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3"/>
    </row>
    <row r="4">
      <c r="A4" s="25" t="s">
        <v>36</v>
      </c>
      <c r="B4" s="26" t="s">
        <v>32</v>
      </c>
      <c r="D4" s="27" t="s">
        <v>43</v>
      </c>
      <c r="E4" s="28">
        <f>COUNTA($A$12:$A$200)</f>
        <v>8</v>
      </c>
      <c r="G4" s="27" t="s">
        <v>38</v>
      </c>
      <c r="H4" s="29">
        <f>IF(E4=0,0,E5/E4)</f>
        <v>0</v>
      </c>
    </row>
    <row r="5">
      <c r="A5" s="25" t="s">
        <v>44</v>
      </c>
      <c r="B5" s="26" t="s">
        <v>45</v>
      </c>
      <c r="D5" s="27" t="s">
        <v>19</v>
      </c>
      <c r="E5" s="28">
        <f>COUNTIF($K$12:$K$200,"Pass")</f>
        <v>0</v>
      </c>
      <c r="G5" s="27" t="s">
        <v>25</v>
      </c>
      <c r="H5" s="28">
        <f>COUNTIF($K$12:$K$200,"Blocked")</f>
        <v>0</v>
      </c>
    </row>
    <row r="6">
      <c r="A6" s="25" t="s">
        <v>46</v>
      </c>
      <c r="B6" s="26" t="s">
        <v>47</v>
      </c>
      <c r="D6" s="27" t="s">
        <v>22</v>
      </c>
      <c r="E6" s="28">
        <f>COUNTIF($K$12:$K$200,"Fail")</f>
        <v>0</v>
      </c>
      <c r="G6" s="27" t="s">
        <v>28</v>
      </c>
      <c r="H6" s="28">
        <f>COUNTIF($K$12:$K$200,"Not Run")</f>
        <v>8</v>
      </c>
    </row>
    <row r="8">
      <c r="A8" s="30" t="s">
        <v>48</v>
      </c>
      <c r="B8" s="31" t="s">
        <v>49</v>
      </c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3"/>
    </row>
    <row r="10" ht="30.0" customHeight="1">
      <c r="A10" s="34" t="s">
        <v>50</v>
      </c>
      <c r="B10" s="34" t="s">
        <v>51</v>
      </c>
      <c r="C10" s="34" t="s">
        <v>52</v>
      </c>
      <c r="D10" s="34" t="s">
        <v>53</v>
      </c>
      <c r="E10" s="34" t="s">
        <v>54</v>
      </c>
      <c r="F10" s="34" t="s">
        <v>55</v>
      </c>
      <c r="G10" s="34" t="s">
        <v>56</v>
      </c>
      <c r="H10" s="34" t="s">
        <v>57</v>
      </c>
      <c r="I10" s="34" t="s">
        <v>58</v>
      </c>
      <c r="J10" s="34" t="s">
        <v>59</v>
      </c>
      <c r="K10" s="34" t="s">
        <v>60</v>
      </c>
      <c r="L10" s="34" t="s">
        <v>61</v>
      </c>
      <c r="M10" s="34" t="s">
        <v>62</v>
      </c>
      <c r="N10" s="34" t="s">
        <v>63</v>
      </c>
      <c r="O10" s="34" t="s">
        <v>64</v>
      </c>
      <c r="P10" s="34" t="s">
        <v>65</v>
      </c>
    </row>
    <row r="11">
      <c r="A11" s="35"/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</row>
    <row r="12" ht="48.0" customHeight="1">
      <c r="A12" s="36" t="s">
        <v>315</v>
      </c>
      <c r="B12" s="37" t="s">
        <v>316</v>
      </c>
      <c r="C12" s="37" t="s">
        <v>316</v>
      </c>
      <c r="D12" s="38" t="s">
        <v>68</v>
      </c>
      <c r="E12" s="39" t="s">
        <v>317</v>
      </c>
      <c r="F12" s="39" t="s">
        <v>318</v>
      </c>
      <c r="G12" s="37" t="s">
        <v>319</v>
      </c>
      <c r="H12" s="37" t="s">
        <v>320</v>
      </c>
      <c r="I12" s="38" t="s">
        <v>28</v>
      </c>
      <c r="J12" s="37" t="s">
        <v>73</v>
      </c>
      <c r="K12" s="38" t="s">
        <v>28</v>
      </c>
      <c r="L12" s="37" t="s">
        <v>73</v>
      </c>
      <c r="M12" s="39" t="s">
        <v>73</v>
      </c>
      <c r="N12" s="40" t="s">
        <v>73</v>
      </c>
      <c r="O12" s="39" t="s">
        <v>74</v>
      </c>
      <c r="P12" s="39" t="s">
        <v>73</v>
      </c>
    </row>
    <row r="13" ht="48.0" customHeight="1">
      <c r="A13" s="36" t="s">
        <v>321</v>
      </c>
      <c r="B13" s="37" t="s">
        <v>322</v>
      </c>
      <c r="C13" s="37" t="s">
        <v>322</v>
      </c>
      <c r="D13" s="38" t="s">
        <v>102</v>
      </c>
      <c r="E13" s="39" t="s">
        <v>323</v>
      </c>
      <c r="F13" s="39" t="s">
        <v>324</v>
      </c>
      <c r="G13" s="37" t="s">
        <v>325</v>
      </c>
      <c r="H13" s="37" t="s">
        <v>326</v>
      </c>
      <c r="I13" s="38" t="s">
        <v>28</v>
      </c>
      <c r="J13" s="37" t="s">
        <v>73</v>
      </c>
      <c r="K13" s="38" t="s">
        <v>28</v>
      </c>
      <c r="L13" s="37" t="s">
        <v>73</v>
      </c>
      <c r="M13" s="39" t="s">
        <v>73</v>
      </c>
      <c r="N13" s="40" t="s">
        <v>73</v>
      </c>
      <c r="O13" s="39" t="s">
        <v>74</v>
      </c>
      <c r="P13" s="39" t="s">
        <v>73</v>
      </c>
    </row>
    <row r="14" ht="48.0" customHeight="1">
      <c r="A14" s="36" t="s">
        <v>327</v>
      </c>
      <c r="B14" s="37" t="s">
        <v>328</v>
      </c>
      <c r="C14" s="37" t="s">
        <v>328</v>
      </c>
      <c r="D14" s="38" t="s">
        <v>102</v>
      </c>
      <c r="E14" s="39" t="s">
        <v>329</v>
      </c>
      <c r="F14" s="39" t="s">
        <v>330</v>
      </c>
      <c r="G14" s="37" t="s">
        <v>331</v>
      </c>
      <c r="H14" s="37" t="s">
        <v>332</v>
      </c>
      <c r="I14" s="38" t="s">
        <v>28</v>
      </c>
      <c r="J14" s="37" t="s">
        <v>73</v>
      </c>
      <c r="K14" s="38" t="s">
        <v>28</v>
      </c>
      <c r="L14" s="37" t="s">
        <v>73</v>
      </c>
      <c r="M14" s="39" t="s">
        <v>73</v>
      </c>
      <c r="N14" s="40" t="s">
        <v>73</v>
      </c>
      <c r="O14" s="39" t="s">
        <v>74</v>
      </c>
      <c r="P14" s="39" t="s">
        <v>73</v>
      </c>
    </row>
    <row r="15" ht="48.0" customHeight="1">
      <c r="A15" s="36" t="s">
        <v>333</v>
      </c>
      <c r="B15" s="37" t="s">
        <v>334</v>
      </c>
      <c r="C15" s="37" t="s">
        <v>334</v>
      </c>
      <c r="D15" s="38" t="s">
        <v>102</v>
      </c>
      <c r="E15" s="39" t="s">
        <v>335</v>
      </c>
      <c r="F15" s="39" t="s">
        <v>336</v>
      </c>
      <c r="G15" s="37" t="s">
        <v>337</v>
      </c>
      <c r="H15" s="37" t="s">
        <v>338</v>
      </c>
      <c r="I15" s="38" t="s">
        <v>28</v>
      </c>
      <c r="J15" s="37" t="s">
        <v>73</v>
      </c>
      <c r="K15" s="38" t="s">
        <v>28</v>
      </c>
      <c r="L15" s="37" t="s">
        <v>73</v>
      </c>
      <c r="M15" s="39" t="s">
        <v>73</v>
      </c>
      <c r="N15" s="40" t="s">
        <v>73</v>
      </c>
      <c r="O15" s="39" t="s">
        <v>74</v>
      </c>
      <c r="P15" s="39" t="s">
        <v>73</v>
      </c>
    </row>
    <row r="16" ht="48.0" customHeight="1">
      <c r="A16" s="36" t="s">
        <v>339</v>
      </c>
      <c r="B16" s="37" t="s">
        <v>340</v>
      </c>
      <c r="C16" s="37" t="s">
        <v>340</v>
      </c>
      <c r="D16" s="38" t="s">
        <v>68</v>
      </c>
      <c r="E16" s="39" t="s">
        <v>341</v>
      </c>
      <c r="F16" s="39" t="s">
        <v>342</v>
      </c>
      <c r="G16" s="37" t="s">
        <v>343</v>
      </c>
      <c r="H16" s="37" t="s">
        <v>344</v>
      </c>
      <c r="I16" s="38" t="s">
        <v>28</v>
      </c>
      <c r="J16" s="37" t="s">
        <v>73</v>
      </c>
      <c r="K16" s="38" t="s">
        <v>28</v>
      </c>
      <c r="L16" s="37" t="s">
        <v>73</v>
      </c>
      <c r="M16" s="39" t="s">
        <v>73</v>
      </c>
      <c r="N16" s="40" t="s">
        <v>73</v>
      </c>
      <c r="O16" s="39" t="s">
        <v>74</v>
      </c>
      <c r="P16" s="39" t="s">
        <v>73</v>
      </c>
    </row>
    <row r="17" ht="48.0" customHeight="1">
      <c r="A17" s="36" t="s">
        <v>345</v>
      </c>
      <c r="B17" s="37" t="s">
        <v>346</v>
      </c>
      <c r="C17" s="37" t="s">
        <v>346</v>
      </c>
      <c r="D17" s="38" t="s">
        <v>68</v>
      </c>
      <c r="E17" s="39" t="s">
        <v>347</v>
      </c>
      <c r="F17" s="39" t="s">
        <v>348</v>
      </c>
      <c r="G17" s="37" t="s">
        <v>349</v>
      </c>
      <c r="H17" s="37" t="s">
        <v>350</v>
      </c>
      <c r="I17" s="38" t="s">
        <v>28</v>
      </c>
      <c r="J17" s="37" t="s">
        <v>73</v>
      </c>
      <c r="K17" s="38" t="s">
        <v>28</v>
      </c>
      <c r="L17" s="37" t="s">
        <v>73</v>
      </c>
      <c r="M17" s="39" t="s">
        <v>73</v>
      </c>
      <c r="N17" s="40" t="s">
        <v>73</v>
      </c>
      <c r="O17" s="39" t="s">
        <v>74</v>
      </c>
      <c r="P17" s="39" t="s">
        <v>73</v>
      </c>
    </row>
    <row r="18" ht="48.0" customHeight="1">
      <c r="A18" s="36" t="s">
        <v>351</v>
      </c>
      <c r="B18" s="37" t="s">
        <v>352</v>
      </c>
      <c r="C18" s="37" t="s">
        <v>352</v>
      </c>
      <c r="D18" s="38" t="s">
        <v>102</v>
      </c>
      <c r="E18" s="39" t="s">
        <v>353</v>
      </c>
      <c r="F18" s="39" t="s">
        <v>354</v>
      </c>
      <c r="G18" s="37" t="s">
        <v>355</v>
      </c>
      <c r="H18" s="37" t="s">
        <v>356</v>
      </c>
      <c r="I18" s="38" t="s">
        <v>28</v>
      </c>
      <c r="J18" s="37" t="s">
        <v>73</v>
      </c>
      <c r="K18" s="38" t="s">
        <v>28</v>
      </c>
      <c r="L18" s="37" t="s">
        <v>73</v>
      </c>
      <c r="M18" s="39" t="s">
        <v>73</v>
      </c>
      <c r="N18" s="40" t="s">
        <v>73</v>
      </c>
      <c r="O18" s="39" t="s">
        <v>74</v>
      </c>
      <c r="P18" s="39" t="s">
        <v>73</v>
      </c>
    </row>
    <row r="19" ht="48.0" customHeight="1">
      <c r="A19" s="36" t="s">
        <v>357</v>
      </c>
      <c r="B19" s="37" t="s">
        <v>358</v>
      </c>
      <c r="C19" s="37" t="s">
        <v>358</v>
      </c>
      <c r="D19" s="38" t="s">
        <v>68</v>
      </c>
      <c r="E19" s="39" t="s">
        <v>359</v>
      </c>
      <c r="F19" s="39" t="s">
        <v>360</v>
      </c>
      <c r="G19" s="37" t="s">
        <v>361</v>
      </c>
      <c r="H19" s="37" t="s">
        <v>362</v>
      </c>
      <c r="I19" s="38" t="s">
        <v>28</v>
      </c>
      <c r="J19" s="37" t="s">
        <v>73</v>
      </c>
      <c r="K19" s="38" t="s">
        <v>28</v>
      </c>
      <c r="L19" s="37" t="s">
        <v>73</v>
      </c>
      <c r="M19" s="39" t="s">
        <v>73</v>
      </c>
      <c r="N19" s="40" t="s">
        <v>73</v>
      </c>
      <c r="O19" s="39" t="s">
        <v>74</v>
      </c>
      <c r="P19" s="39" t="s">
        <v>73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3">
    <mergeCell ref="A1:P1"/>
    <mergeCell ref="A2:P2"/>
    <mergeCell ref="B8:P8"/>
  </mergeCells>
  <conditionalFormatting sqref="K12:K19">
    <cfRule type="expression" dxfId="4" priority="1">
      <formula>EXACT(K12,"Pass")</formula>
    </cfRule>
  </conditionalFormatting>
  <conditionalFormatting sqref="K12">
    <cfRule type="expression" dxfId="4" priority="2">
      <formula>EXACT($K12,"Pass")</formula>
    </cfRule>
  </conditionalFormatting>
  <conditionalFormatting sqref="K12">
    <cfRule type="expression" dxfId="5" priority="3">
      <formula>EXACT($K12,"Fail")</formula>
    </cfRule>
  </conditionalFormatting>
  <conditionalFormatting sqref="K12">
    <cfRule type="expression" dxfId="6" priority="4">
      <formula>EXACT($K12,"Blocked")</formula>
    </cfRule>
  </conditionalFormatting>
  <conditionalFormatting sqref="K12">
    <cfRule type="expression" dxfId="7" priority="5">
      <formula>EXACT($K12,"Not Run")</formula>
    </cfRule>
  </conditionalFormatting>
  <conditionalFormatting sqref="I12">
    <cfRule type="expression" dxfId="4" priority="6">
      <formula>EXACT($I12,"Executed")</formula>
    </cfRule>
  </conditionalFormatting>
  <conditionalFormatting sqref="I12">
    <cfRule type="expression" dxfId="8" priority="7">
      <formula>EXACT($I12,"In Progress")</formula>
    </cfRule>
  </conditionalFormatting>
  <conditionalFormatting sqref="I12">
    <cfRule type="expression" dxfId="6" priority="8">
      <formula>EXACT($I12,"Blocked")</formula>
    </cfRule>
  </conditionalFormatting>
  <conditionalFormatting sqref="I12">
    <cfRule type="expression" dxfId="9" priority="9">
      <formula>EXACT($I12,"Retest")</formula>
    </cfRule>
  </conditionalFormatting>
  <conditionalFormatting sqref="I12">
    <cfRule type="expression" dxfId="7" priority="10">
      <formula>EXACT($I12,"Not Run")</formula>
    </cfRule>
  </conditionalFormatting>
  <conditionalFormatting sqref="K13">
    <cfRule type="expression" dxfId="4" priority="11">
      <formula>EXACT($K13,"Pass")</formula>
    </cfRule>
  </conditionalFormatting>
  <conditionalFormatting sqref="K13">
    <cfRule type="expression" dxfId="5" priority="12">
      <formula>EXACT($K13,"Fail")</formula>
    </cfRule>
  </conditionalFormatting>
  <conditionalFormatting sqref="K13">
    <cfRule type="expression" dxfId="6" priority="13">
      <formula>EXACT($K13,"Blocked")</formula>
    </cfRule>
  </conditionalFormatting>
  <conditionalFormatting sqref="K13">
    <cfRule type="expression" dxfId="7" priority="14">
      <formula>EXACT($K13,"Not Run")</formula>
    </cfRule>
  </conditionalFormatting>
  <conditionalFormatting sqref="I13">
    <cfRule type="expression" dxfId="4" priority="15">
      <formula>EXACT($I13,"Executed")</formula>
    </cfRule>
  </conditionalFormatting>
  <conditionalFormatting sqref="I13">
    <cfRule type="expression" dxfId="8" priority="16">
      <formula>EXACT($I13,"In Progress")</formula>
    </cfRule>
  </conditionalFormatting>
  <conditionalFormatting sqref="I13">
    <cfRule type="expression" dxfId="6" priority="17">
      <formula>EXACT($I13,"Blocked")</formula>
    </cfRule>
  </conditionalFormatting>
  <conditionalFormatting sqref="I13">
    <cfRule type="expression" dxfId="9" priority="18">
      <formula>EXACT($I13,"Retest")</formula>
    </cfRule>
  </conditionalFormatting>
  <conditionalFormatting sqref="I13">
    <cfRule type="expression" dxfId="7" priority="19">
      <formula>EXACT($I13,"Not Run")</formula>
    </cfRule>
  </conditionalFormatting>
  <conditionalFormatting sqref="K14">
    <cfRule type="expression" dxfId="4" priority="20">
      <formula>EXACT($K14,"Pass")</formula>
    </cfRule>
  </conditionalFormatting>
  <conditionalFormatting sqref="K14">
    <cfRule type="expression" dxfId="5" priority="21">
      <formula>EXACT($K14,"Fail")</formula>
    </cfRule>
  </conditionalFormatting>
  <conditionalFormatting sqref="K14">
    <cfRule type="expression" dxfId="6" priority="22">
      <formula>EXACT($K14,"Blocked")</formula>
    </cfRule>
  </conditionalFormatting>
  <conditionalFormatting sqref="K14">
    <cfRule type="expression" dxfId="7" priority="23">
      <formula>EXACT($K14,"Not Run")</formula>
    </cfRule>
  </conditionalFormatting>
  <conditionalFormatting sqref="I14">
    <cfRule type="expression" dxfId="4" priority="24">
      <formula>EXACT($I14,"Executed")</formula>
    </cfRule>
  </conditionalFormatting>
  <conditionalFormatting sqref="I14">
    <cfRule type="expression" dxfId="8" priority="25">
      <formula>EXACT($I14,"In Progress")</formula>
    </cfRule>
  </conditionalFormatting>
  <conditionalFormatting sqref="I14">
    <cfRule type="expression" dxfId="6" priority="26">
      <formula>EXACT($I14,"Blocked")</formula>
    </cfRule>
  </conditionalFormatting>
  <conditionalFormatting sqref="I14">
    <cfRule type="expression" dxfId="9" priority="27">
      <formula>EXACT($I14,"Retest")</formula>
    </cfRule>
  </conditionalFormatting>
  <conditionalFormatting sqref="I14">
    <cfRule type="expression" dxfId="7" priority="28">
      <formula>EXACT($I14,"Not Run")</formula>
    </cfRule>
  </conditionalFormatting>
  <conditionalFormatting sqref="K15">
    <cfRule type="expression" dxfId="4" priority="29">
      <formula>EXACT($K15,"Pass")</formula>
    </cfRule>
  </conditionalFormatting>
  <conditionalFormatting sqref="K15">
    <cfRule type="expression" dxfId="5" priority="30">
      <formula>EXACT($K15,"Fail")</formula>
    </cfRule>
  </conditionalFormatting>
  <conditionalFormatting sqref="K15">
    <cfRule type="expression" dxfId="6" priority="31">
      <formula>EXACT($K15,"Blocked")</formula>
    </cfRule>
  </conditionalFormatting>
  <conditionalFormatting sqref="K15">
    <cfRule type="expression" dxfId="7" priority="32">
      <formula>EXACT($K15,"Not Run")</formula>
    </cfRule>
  </conditionalFormatting>
  <conditionalFormatting sqref="I15">
    <cfRule type="expression" dxfId="4" priority="33">
      <formula>EXACT($I15,"Executed")</formula>
    </cfRule>
  </conditionalFormatting>
  <conditionalFormatting sqref="I15">
    <cfRule type="expression" dxfId="8" priority="34">
      <formula>EXACT($I15,"In Progress")</formula>
    </cfRule>
  </conditionalFormatting>
  <conditionalFormatting sqref="I15">
    <cfRule type="expression" dxfId="6" priority="35">
      <formula>EXACT($I15,"Blocked")</formula>
    </cfRule>
  </conditionalFormatting>
  <conditionalFormatting sqref="I15">
    <cfRule type="expression" dxfId="9" priority="36">
      <formula>EXACT($I15,"Retest")</formula>
    </cfRule>
  </conditionalFormatting>
  <conditionalFormatting sqref="I15">
    <cfRule type="expression" dxfId="7" priority="37">
      <formula>EXACT($I15,"Not Run")</formula>
    </cfRule>
  </conditionalFormatting>
  <conditionalFormatting sqref="K16">
    <cfRule type="expression" dxfId="4" priority="38">
      <formula>EXACT($K16,"Pass")</formula>
    </cfRule>
  </conditionalFormatting>
  <conditionalFormatting sqref="K16">
    <cfRule type="expression" dxfId="5" priority="39">
      <formula>EXACT($K16,"Fail")</formula>
    </cfRule>
  </conditionalFormatting>
  <conditionalFormatting sqref="K16">
    <cfRule type="expression" dxfId="6" priority="40">
      <formula>EXACT($K16,"Blocked")</formula>
    </cfRule>
  </conditionalFormatting>
  <conditionalFormatting sqref="K16">
    <cfRule type="expression" dxfId="7" priority="41">
      <formula>EXACT($K16,"Not Run")</formula>
    </cfRule>
  </conditionalFormatting>
  <conditionalFormatting sqref="I16">
    <cfRule type="expression" dxfId="4" priority="42">
      <formula>EXACT($I16,"Executed")</formula>
    </cfRule>
  </conditionalFormatting>
  <conditionalFormatting sqref="I16">
    <cfRule type="expression" dxfId="8" priority="43">
      <formula>EXACT($I16,"In Progress")</formula>
    </cfRule>
  </conditionalFormatting>
  <conditionalFormatting sqref="I16">
    <cfRule type="expression" dxfId="6" priority="44">
      <formula>EXACT($I16,"Blocked")</formula>
    </cfRule>
  </conditionalFormatting>
  <conditionalFormatting sqref="I16">
    <cfRule type="expression" dxfId="9" priority="45">
      <formula>EXACT($I16,"Retest")</formula>
    </cfRule>
  </conditionalFormatting>
  <conditionalFormatting sqref="I16">
    <cfRule type="expression" dxfId="7" priority="46">
      <formula>EXACT($I16,"Not Run")</formula>
    </cfRule>
  </conditionalFormatting>
  <conditionalFormatting sqref="K17">
    <cfRule type="expression" dxfId="4" priority="47">
      <formula>EXACT($K17,"Pass")</formula>
    </cfRule>
  </conditionalFormatting>
  <conditionalFormatting sqref="K17">
    <cfRule type="expression" dxfId="5" priority="48">
      <formula>EXACT($K17,"Fail")</formula>
    </cfRule>
  </conditionalFormatting>
  <conditionalFormatting sqref="K17">
    <cfRule type="expression" dxfId="6" priority="49">
      <formula>EXACT($K17,"Blocked")</formula>
    </cfRule>
  </conditionalFormatting>
  <conditionalFormatting sqref="K17">
    <cfRule type="expression" dxfId="7" priority="50">
      <formula>EXACT($K17,"Not Run")</formula>
    </cfRule>
  </conditionalFormatting>
  <conditionalFormatting sqref="I17">
    <cfRule type="expression" dxfId="4" priority="51">
      <formula>EXACT($I17,"Executed")</formula>
    </cfRule>
  </conditionalFormatting>
  <conditionalFormatting sqref="I17">
    <cfRule type="expression" dxfId="8" priority="52">
      <formula>EXACT($I17,"In Progress")</formula>
    </cfRule>
  </conditionalFormatting>
  <conditionalFormatting sqref="I17">
    <cfRule type="expression" dxfId="6" priority="53">
      <formula>EXACT($I17,"Blocked")</formula>
    </cfRule>
  </conditionalFormatting>
  <conditionalFormatting sqref="I17">
    <cfRule type="expression" dxfId="9" priority="54">
      <formula>EXACT($I17,"Retest")</formula>
    </cfRule>
  </conditionalFormatting>
  <conditionalFormatting sqref="I17">
    <cfRule type="expression" dxfId="7" priority="55">
      <formula>EXACT($I17,"Not Run")</formula>
    </cfRule>
  </conditionalFormatting>
  <conditionalFormatting sqref="K18">
    <cfRule type="expression" dxfId="4" priority="56">
      <formula>EXACT($K18,"Pass")</formula>
    </cfRule>
  </conditionalFormatting>
  <conditionalFormatting sqref="K18">
    <cfRule type="expression" dxfId="5" priority="57">
      <formula>EXACT($K18,"Fail")</formula>
    </cfRule>
  </conditionalFormatting>
  <conditionalFormatting sqref="K18">
    <cfRule type="expression" dxfId="6" priority="58">
      <formula>EXACT($K18,"Blocked")</formula>
    </cfRule>
  </conditionalFormatting>
  <conditionalFormatting sqref="K18">
    <cfRule type="expression" dxfId="7" priority="59">
      <formula>EXACT($K18,"Not Run")</formula>
    </cfRule>
  </conditionalFormatting>
  <conditionalFormatting sqref="I18">
    <cfRule type="expression" dxfId="4" priority="60">
      <formula>EXACT($I18,"Executed")</formula>
    </cfRule>
  </conditionalFormatting>
  <conditionalFormatting sqref="I18">
    <cfRule type="expression" dxfId="8" priority="61">
      <formula>EXACT($I18,"In Progress")</formula>
    </cfRule>
  </conditionalFormatting>
  <conditionalFormatting sqref="I18">
    <cfRule type="expression" dxfId="6" priority="62">
      <formula>EXACT($I18,"Blocked")</formula>
    </cfRule>
  </conditionalFormatting>
  <conditionalFormatting sqref="I18">
    <cfRule type="expression" dxfId="9" priority="63">
      <formula>EXACT($I18,"Retest")</formula>
    </cfRule>
  </conditionalFormatting>
  <conditionalFormatting sqref="I18">
    <cfRule type="expression" dxfId="7" priority="64">
      <formula>EXACT($I18,"Not Run")</formula>
    </cfRule>
  </conditionalFormatting>
  <conditionalFormatting sqref="K19">
    <cfRule type="expression" dxfId="4" priority="65">
      <formula>EXACT($K19,"Pass")</formula>
    </cfRule>
  </conditionalFormatting>
  <conditionalFormatting sqref="K19">
    <cfRule type="expression" dxfId="5" priority="66">
      <formula>EXACT($K19,"Fail")</formula>
    </cfRule>
  </conditionalFormatting>
  <conditionalFormatting sqref="K19">
    <cfRule type="expression" dxfId="6" priority="67">
      <formula>EXACT($K19,"Blocked")</formula>
    </cfRule>
  </conditionalFormatting>
  <conditionalFormatting sqref="K19">
    <cfRule type="expression" dxfId="7" priority="68">
      <formula>EXACT($K19,"Not Run")</formula>
    </cfRule>
  </conditionalFormatting>
  <conditionalFormatting sqref="I19">
    <cfRule type="expression" dxfId="4" priority="69">
      <formula>EXACT($I19,"Executed")</formula>
    </cfRule>
  </conditionalFormatting>
  <conditionalFormatting sqref="I19">
    <cfRule type="expression" dxfId="8" priority="70">
      <formula>EXACT($I19,"In Progress")</formula>
    </cfRule>
  </conditionalFormatting>
  <conditionalFormatting sqref="I19">
    <cfRule type="expression" dxfId="6" priority="71">
      <formula>EXACT($I19,"Blocked")</formula>
    </cfRule>
  </conditionalFormatting>
  <conditionalFormatting sqref="I19">
    <cfRule type="expression" dxfId="9" priority="72">
      <formula>EXACT($I19,"Retest")</formula>
    </cfRule>
  </conditionalFormatting>
  <conditionalFormatting sqref="I19">
    <cfRule type="expression" dxfId="7" priority="73">
      <formula>EXACT($I19,"Not Run")</formula>
    </cfRule>
  </conditionalFormatting>
  <conditionalFormatting sqref="D12">
    <cfRule type="expression" dxfId="10" priority="74">
      <formula>EXACT($D12,"Critical")</formula>
    </cfRule>
  </conditionalFormatting>
  <conditionalFormatting sqref="D12">
    <cfRule type="expression" dxfId="11" priority="75">
      <formula>EXACT($D12,"High")</formula>
    </cfRule>
  </conditionalFormatting>
  <conditionalFormatting sqref="D12">
    <cfRule type="expression" dxfId="6" priority="76">
      <formula>EXACT($D12,"Medium")</formula>
    </cfRule>
  </conditionalFormatting>
  <conditionalFormatting sqref="D12">
    <cfRule type="expression" dxfId="12" priority="77">
      <formula>EXACT($D12,"Low")</formula>
    </cfRule>
  </conditionalFormatting>
  <conditionalFormatting sqref="D13">
    <cfRule type="expression" dxfId="10" priority="78">
      <formula>EXACT($D13,"Critical")</formula>
    </cfRule>
  </conditionalFormatting>
  <conditionalFormatting sqref="D13">
    <cfRule type="expression" dxfId="11" priority="79">
      <formula>EXACT($D13,"High")</formula>
    </cfRule>
  </conditionalFormatting>
  <conditionalFormatting sqref="D13">
    <cfRule type="expression" dxfId="6" priority="80">
      <formula>EXACT($D13,"Medium")</formula>
    </cfRule>
  </conditionalFormatting>
  <conditionalFormatting sqref="D13">
    <cfRule type="expression" dxfId="12" priority="81">
      <formula>EXACT($D13,"Low")</formula>
    </cfRule>
  </conditionalFormatting>
  <conditionalFormatting sqref="D14">
    <cfRule type="expression" dxfId="10" priority="82">
      <formula>EXACT($D14,"Critical")</formula>
    </cfRule>
  </conditionalFormatting>
  <conditionalFormatting sqref="D14">
    <cfRule type="expression" dxfId="11" priority="83">
      <formula>EXACT($D14,"High")</formula>
    </cfRule>
  </conditionalFormatting>
  <conditionalFormatting sqref="D14">
    <cfRule type="expression" dxfId="6" priority="84">
      <formula>EXACT($D14,"Medium")</formula>
    </cfRule>
  </conditionalFormatting>
  <conditionalFormatting sqref="D14">
    <cfRule type="expression" dxfId="12" priority="85">
      <formula>EXACT($D14,"Low")</formula>
    </cfRule>
  </conditionalFormatting>
  <conditionalFormatting sqref="D15">
    <cfRule type="expression" dxfId="10" priority="86">
      <formula>EXACT($D15,"Critical")</formula>
    </cfRule>
  </conditionalFormatting>
  <conditionalFormatting sqref="D15">
    <cfRule type="expression" dxfId="11" priority="87">
      <formula>EXACT($D15,"High")</formula>
    </cfRule>
  </conditionalFormatting>
  <conditionalFormatting sqref="D15">
    <cfRule type="expression" dxfId="6" priority="88">
      <formula>EXACT($D15,"Medium")</formula>
    </cfRule>
  </conditionalFormatting>
  <conditionalFormatting sqref="D15">
    <cfRule type="expression" dxfId="12" priority="89">
      <formula>EXACT($D15,"Low")</formula>
    </cfRule>
  </conditionalFormatting>
  <conditionalFormatting sqref="D16">
    <cfRule type="expression" dxfId="10" priority="90">
      <formula>EXACT($D16,"Critical")</formula>
    </cfRule>
  </conditionalFormatting>
  <conditionalFormatting sqref="D16">
    <cfRule type="expression" dxfId="11" priority="91">
      <formula>EXACT($D16,"High")</formula>
    </cfRule>
  </conditionalFormatting>
  <conditionalFormatting sqref="D16">
    <cfRule type="expression" dxfId="6" priority="92">
      <formula>EXACT($D16,"Medium")</formula>
    </cfRule>
  </conditionalFormatting>
  <conditionalFormatting sqref="D16">
    <cfRule type="expression" dxfId="12" priority="93">
      <formula>EXACT($D16,"Low")</formula>
    </cfRule>
  </conditionalFormatting>
  <conditionalFormatting sqref="D17">
    <cfRule type="expression" dxfId="10" priority="94">
      <formula>EXACT($D17,"Critical")</formula>
    </cfRule>
  </conditionalFormatting>
  <conditionalFormatting sqref="D17">
    <cfRule type="expression" dxfId="11" priority="95">
      <formula>EXACT($D17,"High")</formula>
    </cfRule>
  </conditionalFormatting>
  <conditionalFormatting sqref="D17">
    <cfRule type="expression" dxfId="6" priority="96">
      <formula>EXACT($D17,"Medium")</formula>
    </cfRule>
  </conditionalFormatting>
  <conditionalFormatting sqref="D17">
    <cfRule type="expression" dxfId="12" priority="97">
      <formula>EXACT($D17,"Low")</formula>
    </cfRule>
  </conditionalFormatting>
  <conditionalFormatting sqref="D18">
    <cfRule type="expression" dxfId="10" priority="98">
      <formula>EXACT($D18,"Critical")</formula>
    </cfRule>
  </conditionalFormatting>
  <conditionalFormatting sqref="D18">
    <cfRule type="expression" dxfId="11" priority="99">
      <formula>EXACT($D18,"High")</formula>
    </cfRule>
  </conditionalFormatting>
  <conditionalFormatting sqref="D18">
    <cfRule type="expression" dxfId="6" priority="100">
      <formula>EXACT($D18,"Medium")</formula>
    </cfRule>
  </conditionalFormatting>
  <conditionalFormatting sqref="D18">
    <cfRule type="expression" dxfId="12" priority="101">
      <formula>EXACT($D18,"Low")</formula>
    </cfRule>
  </conditionalFormatting>
  <conditionalFormatting sqref="D19">
    <cfRule type="expression" dxfId="10" priority="102">
      <formula>EXACT($D19,"Critical")</formula>
    </cfRule>
  </conditionalFormatting>
  <conditionalFormatting sqref="D19">
    <cfRule type="expression" dxfId="11" priority="103">
      <formula>EXACT($D19,"High")</formula>
    </cfRule>
  </conditionalFormatting>
  <conditionalFormatting sqref="D19">
    <cfRule type="expression" dxfId="6" priority="104">
      <formula>EXACT($D19,"Medium")</formula>
    </cfRule>
  </conditionalFormatting>
  <conditionalFormatting sqref="D19">
    <cfRule type="expression" dxfId="12" priority="105">
      <formula>EXACT($D19,"Low")</formula>
    </cfRule>
  </conditionalFormatting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2" width="14.0"/>
    <col customWidth="1" min="3" max="3" width="18.0"/>
    <col customWidth="1" min="4" max="4" width="36.0"/>
    <col customWidth="1" min="5" max="5" width="12.0"/>
    <col customWidth="1" min="6" max="7" width="14.0"/>
    <col customWidth="1" min="8" max="8" width="16.0"/>
    <col customWidth="1" min="9" max="9" width="14.0"/>
    <col customWidth="1" min="10" max="10" width="16.0"/>
    <col customWidth="1" min="11" max="11" width="24.0"/>
    <col customWidth="1" min="12" max="12" width="28.0"/>
    <col customWidth="1" min="13" max="26" width="8.71"/>
  </cols>
  <sheetData>
    <row r="1" ht="24.0" customHeight="1">
      <c r="A1" s="1" t="s">
        <v>363</v>
      </c>
      <c r="B1" s="2"/>
      <c r="C1" s="2"/>
      <c r="D1" s="2"/>
      <c r="E1" s="2"/>
      <c r="F1" s="2"/>
      <c r="G1" s="2"/>
      <c r="H1" s="2"/>
      <c r="I1" s="2"/>
      <c r="J1" s="2"/>
      <c r="K1" s="2"/>
      <c r="L1" s="3"/>
    </row>
    <row r="2" ht="19.5" customHeight="1">
      <c r="A2" s="4" t="s">
        <v>364</v>
      </c>
      <c r="B2" s="2"/>
      <c r="C2" s="2"/>
      <c r="D2" s="2"/>
      <c r="E2" s="2"/>
      <c r="F2" s="2"/>
      <c r="G2" s="2"/>
      <c r="H2" s="2"/>
      <c r="I2" s="2"/>
      <c r="J2" s="2"/>
      <c r="K2" s="2"/>
      <c r="L2" s="3"/>
    </row>
    <row r="4">
      <c r="A4" s="41" t="s">
        <v>61</v>
      </c>
      <c r="B4" s="41" t="s">
        <v>365</v>
      </c>
      <c r="C4" s="41" t="s">
        <v>36</v>
      </c>
      <c r="D4" s="41" t="s">
        <v>366</v>
      </c>
      <c r="E4" s="41" t="s">
        <v>367</v>
      </c>
      <c r="F4" s="41" t="s">
        <v>368</v>
      </c>
      <c r="G4" s="41" t="s">
        <v>64</v>
      </c>
      <c r="H4" s="41" t="s">
        <v>46</v>
      </c>
      <c r="I4" s="41" t="s">
        <v>369</v>
      </c>
      <c r="J4" s="41" t="s">
        <v>370</v>
      </c>
      <c r="K4" s="41" t="s">
        <v>371</v>
      </c>
      <c r="L4" s="41" t="s">
        <v>65</v>
      </c>
    </row>
    <row r="5" ht="24.0" customHeight="1">
      <c r="A5" s="6"/>
      <c r="B5" s="6"/>
      <c r="C5" s="6"/>
      <c r="D5" s="6"/>
      <c r="E5" s="6" t="s">
        <v>83</v>
      </c>
      <c r="F5" s="6" t="s">
        <v>372</v>
      </c>
      <c r="G5" s="6" t="s">
        <v>74</v>
      </c>
      <c r="H5" s="6"/>
      <c r="I5" s="6"/>
      <c r="J5" s="6"/>
      <c r="K5" s="6"/>
      <c r="L5" s="6"/>
    </row>
    <row r="6" ht="24.0" customHeight="1">
      <c r="A6" s="6"/>
      <c r="B6" s="6"/>
      <c r="C6" s="6"/>
      <c r="D6" s="6"/>
      <c r="E6" s="6" t="s">
        <v>83</v>
      </c>
      <c r="F6" s="6" t="s">
        <v>372</v>
      </c>
      <c r="G6" s="6" t="s">
        <v>74</v>
      </c>
      <c r="H6" s="6"/>
      <c r="I6" s="6"/>
      <c r="J6" s="6"/>
      <c r="K6" s="6"/>
      <c r="L6" s="6"/>
    </row>
    <row r="7" ht="24.0" customHeight="1">
      <c r="A7" s="6"/>
      <c r="B7" s="6"/>
      <c r="C7" s="6"/>
      <c r="D7" s="6"/>
      <c r="E7" s="6" t="s">
        <v>83</v>
      </c>
      <c r="F7" s="6" t="s">
        <v>372</v>
      </c>
      <c r="G7" s="6" t="s">
        <v>74</v>
      </c>
      <c r="H7" s="6"/>
      <c r="I7" s="6"/>
      <c r="J7" s="6"/>
      <c r="K7" s="6"/>
      <c r="L7" s="6"/>
    </row>
    <row r="8" ht="24.0" customHeight="1">
      <c r="A8" s="6"/>
      <c r="B8" s="6"/>
      <c r="C8" s="6"/>
      <c r="D8" s="6"/>
      <c r="E8" s="6" t="s">
        <v>83</v>
      </c>
      <c r="F8" s="6" t="s">
        <v>372</v>
      </c>
      <c r="G8" s="6" t="s">
        <v>74</v>
      </c>
      <c r="H8" s="6"/>
      <c r="I8" s="6"/>
      <c r="J8" s="6"/>
      <c r="K8" s="6"/>
      <c r="L8" s="6"/>
    </row>
    <row r="9" ht="24.0" customHeight="1">
      <c r="A9" s="6"/>
      <c r="B9" s="6"/>
      <c r="C9" s="6"/>
      <c r="D9" s="6"/>
      <c r="E9" s="6" t="s">
        <v>83</v>
      </c>
      <c r="F9" s="6" t="s">
        <v>372</v>
      </c>
      <c r="G9" s="6" t="s">
        <v>74</v>
      </c>
      <c r="H9" s="6"/>
      <c r="I9" s="6"/>
      <c r="J9" s="6"/>
      <c r="K9" s="6"/>
      <c r="L9" s="6"/>
    </row>
    <row r="10" ht="24.0" customHeight="1">
      <c r="A10" s="6"/>
      <c r="B10" s="6"/>
      <c r="C10" s="6"/>
      <c r="D10" s="6"/>
      <c r="E10" s="6" t="s">
        <v>83</v>
      </c>
      <c r="F10" s="6" t="s">
        <v>372</v>
      </c>
      <c r="G10" s="6" t="s">
        <v>74</v>
      </c>
      <c r="H10" s="6"/>
      <c r="I10" s="6"/>
      <c r="J10" s="6"/>
      <c r="K10" s="6"/>
      <c r="L10" s="6"/>
    </row>
    <row r="11" ht="24.0" customHeight="1">
      <c r="A11" s="6"/>
      <c r="B11" s="6"/>
      <c r="C11" s="6"/>
      <c r="D11" s="6"/>
      <c r="E11" s="6" t="s">
        <v>83</v>
      </c>
      <c r="F11" s="6" t="s">
        <v>372</v>
      </c>
      <c r="G11" s="6" t="s">
        <v>74</v>
      </c>
      <c r="H11" s="6"/>
      <c r="I11" s="6"/>
      <c r="J11" s="6"/>
      <c r="K11" s="6"/>
      <c r="L11" s="6"/>
    </row>
    <row r="12" ht="24.0" customHeight="1">
      <c r="A12" s="6"/>
      <c r="B12" s="6"/>
      <c r="C12" s="6"/>
      <c r="D12" s="6"/>
      <c r="E12" s="6" t="s">
        <v>83</v>
      </c>
      <c r="F12" s="6" t="s">
        <v>372</v>
      </c>
      <c r="G12" s="6" t="s">
        <v>74</v>
      </c>
      <c r="H12" s="6"/>
      <c r="I12" s="6"/>
      <c r="J12" s="6"/>
      <c r="K12" s="6"/>
      <c r="L12" s="6"/>
    </row>
    <row r="13" ht="24.0" customHeight="1">
      <c r="A13" s="6"/>
      <c r="B13" s="6"/>
      <c r="C13" s="6"/>
      <c r="D13" s="6"/>
      <c r="E13" s="6" t="s">
        <v>83</v>
      </c>
      <c r="F13" s="6" t="s">
        <v>372</v>
      </c>
      <c r="G13" s="6" t="s">
        <v>74</v>
      </c>
      <c r="H13" s="6"/>
      <c r="I13" s="6"/>
      <c r="J13" s="6"/>
      <c r="K13" s="6"/>
      <c r="L13" s="6"/>
    </row>
    <row r="14" ht="24.0" customHeight="1">
      <c r="A14" s="6"/>
      <c r="B14" s="6"/>
      <c r="C14" s="6"/>
      <c r="D14" s="6"/>
      <c r="E14" s="6" t="s">
        <v>83</v>
      </c>
      <c r="F14" s="6" t="s">
        <v>372</v>
      </c>
      <c r="G14" s="6" t="s">
        <v>74</v>
      </c>
      <c r="H14" s="6"/>
      <c r="I14" s="6"/>
      <c r="J14" s="6"/>
      <c r="K14" s="6"/>
      <c r="L14" s="6"/>
    </row>
    <row r="15" ht="24.0" customHeight="1">
      <c r="A15" s="6"/>
      <c r="B15" s="6"/>
      <c r="C15" s="6"/>
      <c r="D15" s="6"/>
      <c r="E15" s="6" t="s">
        <v>83</v>
      </c>
      <c r="F15" s="6" t="s">
        <v>372</v>
      </c>
      <c r="G15" s="6" t="s">
        <v>74</v>
      </c>
      <c r="H15" s="6"/>
      <c r="I15" s="6"/>
      <c r="J15" s="6"/>
      <c r="K15" s="6"/>
      <c r="L15" s="6"/>
    </row>
    <row r="16" ht="24.0" customHeight="1">
      <c r="A16" s="6"/>
      <c r="B16" s="6"/>
      <c r="C16" s="6"/>
      <c r="D16" s="6"/>
      <c r="E16" s="6" t="s">
        <v>83</v>
      </c>
      <c r="F16" s="6" t="s">
        <v>372</v>
      </c>
      <c r="G16" s="6" t="s">
        <v>74</v>
      </c>
      <c r="H16" s="6"/>
      <c r="I16" s="6"/>
      <c r="J16" s="6"/>
      <c r="K16" s="6"/>
      <c r="L16" s="6"/>
    </row>
    <row r="17" ht="24.0" customHeight="1">
      <c r="A17" s="6"/>
      <c r="B17" s="6"/>
      <c r="C17" s="6"/>
      <c r="D17" s="6"/>
      <c r="E17" s="6" t="s">
        <v>83</v>
      </c>
      <c r="F17" s="6" t="s">
        <v>372</v>
      </c>
      <c r="G17" s="6" t="s">
        <v>74</v>
      </c>
      <c r="H17" s="6"/>
      <c r="I17" s="6"/>
      <c r="J17" s="6"/>
      <c r="K17" s="6"/>
      <c r="L17" s="6"/>
    </row>
    <row r="18" ht="24.0" customHeight="1">
      <c r="A18" s="6"/>
      <c r="B18" s="6"/>
      <c r="C18" s="6"/>
      <c r="D18" s="6"/>
      <c r="E18" s="6" t="s">
        <v>83</v>
      </c>
      <c r="F18" s="6" t="s">
        <v>372</v>
      </c>
      <c r="G18" s="6" t="s">
        <v>74</v>
      </c>
      <c r="H18" s="6"/>
      <c r="I18" s="6"/>
      <c r="J18" s="6"/>
      <c r="K18" s="6"/>
      <c r="L18" s="6"/>
    </row>
    <row r="19" ht="24.0" customHeight="1">
      <c r="A19" s="6"/>
      <c r="B19" s="6"/>
      <c r="C19" s="6"/>
      <c r="D19" s="6"/>
      <c r="E19" s="6" t="s">
        <v>83</v>
      </c>
      <c r="F19" s="6" t="s">
        <v>372</v>
      </c>
      <c r="G19" s="6" t="s">
        <v>74</v>
      </c>
      <c r="H19" s="6"/>
      <c r="I19" s="6"/>
      <c r="J19" s="6"/>
      <c r="K19" s="6"/>
      <c r="L19" s="6"/>
    </row>
    <row r="20" ht="24.0" customHeight="1">
      <c r="A20" s="6"/>
      <c r="B20" s="6"/>
      <c r="C20" s="6"/>
      <c r="D20" s="6"/>
      <c r="E20" s="6" t="s">
        <v>83</v>
      </c>
      <c r="F20" s="6" t="s">
        <v>372</v>
      </c>
      <c r="G20" s="6" t="s">
        <v>74</v>
      </c>
      <c r="H20" s="6"/>
      <c r="I20" s="6"/>
      <c r="J20" s="6"/>
      <c r="K20" s="6"/>
      <c r="L20" s="6"/>
    </row>
    <row r="21" ht="24.0" customHeight="1">
      <c r="A21" s="6"/>
      <c r="B21" s="6"/>
      <c r="C21" s="6"/>
      <c r="D21" s="6"/>
      <c r="E21" s="6" t="s">
        <v>83</v>
      </c>
      <c r="F21" s="6" t="s">
        <v>372</v>
      </c>
      <c r="G21" s="6" t="s">
        <v>74</v>
      </c>
      <c r="H21" s="6"/>
      <c r="I21" s="6"/>
      <c r="J21" s="6"/>
      <c r="K21" s="6"/>
      <c r="L21" s="6"/>
    </row>
    <row r="22" ht="24.0" customHeight="1">
      <c r="A22" s="6"/>
      <c r="B22" s="6"/>
      <c r="C22" s="6"/>
      <c r="D22" s="6"/>
      <c r="E22" s="6" t="s">
        <v>83</v>
      </c>
      <c r="F22" s="6" t="s">
        <v>372</v>
      </c>
      <c r="G22" s="6" t="s">
        <v>74</v>
      </c>
      <c r="H22" s="6"/>
      <c r="I22" s="6"/>
      <c r="J22" s="6"/>
      <c r="K22" s="6"/>
      <c r="L22" s="6"/>
    </row>
    <row r="23" ht="24.0" customHeight="1">
      <c r="A23" s="6"/>
      <c r="B23" s="6"/>
      <c r="C23" s="6"/>
      <c r="D23" s="6"/>
      <c r="E23" s="6" t="s">
        <v>83</v>
      </c>
      <c r="F23" s="6" t="s">
        <v>372</v>
      </c>
      <c r="G23" s="6" t="s">
        <v>74</v>
      </c>
      <c r="H23" s="6"/>
      <c r="I23" s="6"/>
      <c r="J23" s="6"/>
      <c r="K23" s="6"/>
      <c r="L23" s="6"/>
    </row>
    <row r="24" ht="24.0" customHeight="1">
      <c r="A24" s="6"/>
      <c r="B24" s="6"/>
      <c r="C24" s="6"/>
      <c r="D24" s="6"/>
      <c r="E24" s="6" t="s">
        <v>83</v>
      </c>
      <c r="F24" s="6" t="s">
        <v>372</v>
      </c>
      <c r="G24" s="6" t="s">
        <v>74</v>
      </c>
      <c r="H24" s="6"/>
      <c r="I24" s="6"/>
      <c r="J24" s="6"/>
      <c r="K24" s="6"/>
      <c r="L24" s="6"/>
    </row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L1"/>
    <mergeCell ref="A2:L2"/>
  </mergeCell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26" width="8.71"/>
  </cols>
  <sheetData>
    <row r="1">
      <c r="A1" s="42" t="s">
        <v>28</v>
      </c>
      <c r="B1" s="42" t="s">
        <v>28</v>
      </c>
      <c r="C1" s="42" t="s">
        <v>102</v>
      </c>
      <c r="D1" s="42" t="s">
        <v>74</v>
      </c>
      <c r="E1" s="42" t="s">
        <v>102</v>
      </c>
      <c r="F1" s="42" t="s">
        <v>372</v>
      </c>
    </row>
    <row r="2">
      <c r="A2" s="42" t="s">
        <v>31</v>
      </c>
      <c r="B2" s="42" t="s">
        <v>19</v>
      </c>
      <c r="C2" s="42" t="s">
        <v>68</v>
      </c>
      <c r="D2" s="42" t="s">
        <v>373</v>
      </c>
      <c r="E2" s="42" t="s">
        <v>68</v>
      </c>
      <c r="F2" s="42" t="s">
        <v>31</v>
      </c>
    </row>
    <row r="3">
      <c r="A3" s="42" t="s">
        <v>374</v>
      </c>
      <c r="B3" s="42" t="s">
        <v>22</v>
      </c>
      <c r="C3" s="42" t="s">
        <v>83</v>
      </c>
      <c r="D3" s="42" t="s">
        <v>375</v>
      </c>
      <c r="E3" s="42" t="s">
        <v>83</v>
      </c>
      <c r="F3" s="42" t="s">
        <v>376</v>
      </c>
    </row>
    <row r="4">
      <c r="A4" s="42" t="s">
        <v>25</v>
      </c>
      <c r="B4" s="42" t="s">
        <v>25</v>
      </c>
      <c r="C4" s="42" t="s">
        <v>377</v>
      </c>
      <c r="D4" s="42" t="s">
        <v>378</v>
      </c>
      <c r="E4" s="42" t="s">
        <v>377</v>
      </c>
      <c r="F4" s="42" t="s">
        <v>379</v>
      </c>
    </row>
    <row r="5">
      <c r="A5" s="42" t="s">
        <v>379</v>
      </c>
      <c r="D5" s="42" t="s">
        <v>380</v>
      </c>
      <c r="F5" s="42" t="s">
        <v>381</v>
      </c>
    </row>
    <row r="6">
      <c r="F6" s="42" t="s">
        <v>382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